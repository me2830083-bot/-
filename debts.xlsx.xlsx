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fi\Desktop\"/>
    </mc:Choice>
  </mc:AlternateContent>
  <xr:revisionPtr revIDLastSave="0" documentId="13_ncr:1_{1621C586-F284-47F2-AC92-BCACFCC8E38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5" r:id="rId1"/>
    <sheet name="Dashboard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5" l="1"/>
  <c r="F3" i="8"/>
  <c r="F23" i="5" l="1"/>
  <c r="C9" i="5"/>
  <c r="L12" i="5"/>
  <c r="F16" i="8" a="1"/>
  <c r="F16" i="8" s="1"/>
  <c r="C8" i="5"/>
  <c r="I8" i="5"/>
  <c r="I9" i="5"/>
  <c r="C10" i="5"/>
  <c r="F10" i="5"/>
  <c r="I10" i="5"/>
  <c r="C11" i="5"/>
  <c r="F11" i="5"/>
  <c r="F12" i="5"/>
  <c r="C13" i="5"/>
  <c r="F13" i="5"/>
  <c r="C14" i="5"/>
  <c r="C15" i="5"/>
  <c r="F15" i="5"/>
  <c r="C16" i="5"/>
  <c r="F16" i="5"/>
  <c r="C17" i="5"/>
  <c r="F17" i="5"/>
  <c r="C18" i="5"/>
  <c r="C19" i="5"/>
  <c r="F19" i="5"/>
  <c r="C20" i="5"/>
  <c r="F20" i="5"/>
  <c r="C21" i="5"/>
  <c r="F21" i="5"/>
  <c r="C22" i="5"/>
  <c r="C23" i="5"/>
  <c r="C24" i="5"/>
  <c r="C25" i="5"/>
  <c r="C26" i="5"/>
  <c r="C27" i="5"/>
  <c r="C28" i="5"/>
  <c r="C29" i="5"/>
  <c r="F15" i="8" l="1" a="1"/>
  <c r="F15" i="8" s="1"/>
  <c r="I11" i="5"/>
  <c r="F18" i="5" l="1"/>
  <c r="C12" i="5" l="1"/>
  <c r="F13" i="8" l="1" a="1"/>
  <c r="F13" i="8" s="1"/>
  <c r="C30" i="5"/>
  <c r="F14" i="5" l="1"/>
  <c r="F24" i="5" l="1"/>
  <c r="B4" i="5" s="1"/>
  <c r="F14" i="8" a="1"/>
  <c r="F14" i="8" s="1"/>
  <c r="T3" i="8" a="1"/>
  <c r="T3" i="8" s="1"/>
  <c r="J13" i="8" l="1" a="1"/>
  <c r="J13" i="8" s="1"/>
  <c r="J16" i="8" a="1"/>
  <c r="J16" i="8" s="1"/>
  <c r="I14" i="8" a="1"/>
  <c r="I14" i="8" s="1"/>
  <c r="I17" i="8" a="1"/>
  <c r="I17" i="8" s="1"/>
  <c r="I16" i="8" a="1"/>
  <c r="I16" i="8" s="1"/>
  <c r="L5" i="8"/>
  <c r="J14" i="8" a="1"/>
  <c r="J14" i="8" s="1"/>
  <c r="J17" i="8" a="1"/>
  <c r="J17" i="8" s="1"/>
  <c r="I15" i="8" a="1"/>
  <c r="I15" i="8" s="1"/>
  <c r="I13" i="8" a="1"/>
  <c r="I13" i="8" s="1"/>
  <c r="J15" i="8" a="1"/>
  <c r="J15" i="8" s="1"/>
  <c r="E24" i="8" a="1"/>
  <c r="E24" i="8" s="1"/>
  <c r="F17" i="8"/>
  <c r="R5" i="8"/>
  <c r="G14" i="8"/>
  <c r="G13" i="8" l="1"/>
  <c r="F18" i="8"/>
  <c r="G18" i="8" s="1"/>
  <c r="I5" i="8"/>
  <c r="O5" i="8" s="1"/>
  <c r="G15" i="8"/>
  <c r="G16" i="8"/>
  <c r="G17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<sst xmlns="http://schemas.openxmlformats.org/spreadsheetml/2006/main" count="98" uniqueCount="74">
  <si>
    <t>صنايعيه</t>
  </si>
  <si>
    <t xml:space="preserve">الاسم </t>
  </si>
  <si>
    <t>المبلغ</t>
  </si>
  <si>
    <t>المجموع</t>
  </si>
  <si>
    <t>المقاولين</t>
  </si>
  <si>
    <t>النقل</t>
  </si>
  <si>
    <t>محمد السيد</t>
  </si>
  <si>
    <t xml:space="preserve">رمضان </t>
  </si>
  <si>
    <t>الايجار</t>
  </si>
  <si>
    <t>الغفره</t>
  </si>
  <si>
    <t>احمد النقاش</t>
  </si>
  <si>
    <t>الشيخ عمر</t>
  </si>
  <si>
    <t>محمد حسين</t>
  </si>
  <si>
    <t>محمد رافت</t>
  </si>
  <si>
    <t>أبو احمد</t>
  </si>
  <si>
    <t>كوري</t>
  </si>
  <si>
    <t>سيد الأبيض</t>
  </si>
  <si>
    <t>مرتبات</t>
  </si>
  <si>
    <t>الاسم</t>
  </si>
  <si>
    <t>محمد محمود</t>
  </si>
  <si>
    <t>أبناء أسيوط</t>
  </si>
  <si>
    <t>بسم الله الرحمن الرحيم</t>
  </si>
  <si>
    <t>حسن الموان</t>
  </si>
  <si>
    <t>يوسف</t>
  </si>
  <si>
    <t>رضا الحداد</t>
  </si>
  <si>
    <t>هاني</t>
  </si>
  <si>
    <t>عفيفي</t>
  </si>
  <si>
    <t>جواده</t>
  </si>
  <si>
    <t>محمد مصبح</t>
  </si>
  <si>
    <t>محمد صبحي</t>
  </si>
  <si>
    <t>علاء محمد</t>
  </si>
  <si>
    <t>فريد</t>
  </si>
  <si>
    <t>مصطفي محل الكهرباء</t>
  </si>
  <si>
    <t>كمال الحافي</t>
  </si>
  <si>
    <t>احمد عرفه</t>
  </si>
  <si>
    <t>احمد مصطفي</t>
  </si>
  <si>
    <t>محمد ثروت</t>
  </si>
  <si>
    <t>احمد رمضان</t>
  </si>
  <si>
    <t>رضا زكي</t>
  </si>
  <si>
    <t>كريم الكهربائي قديم</t>
  </si>
  <si>
    <t xml:space="preserve">كريم الكهربائي </t>
  </si>
  <si>
    <t>إبراهيم السيد</t>
  </si>
  <si>
    <t>عبد العزيزصبحي</t>
  </si>
  <si>
    <t>احمد المليجي</t>
  </si>
  <si>
    <t>مصطفي مسعد</t>
  </si>
  <si>
    <t>عبده محمد</t>
  </si>
  <si>
    <t>عمر فوزي</t>
  </si>
  <si>
    <t>عبد الفتاح</t>
  </si>
  <si>
    <t>يوسف عصام</t>
  </si>
  <si>
    <t>زكريا احمد</t>
  </si>
  <si>
    <t>لوحة متابعة المصروفات</t>
  </si>
  <si>
    <t>إجمالي المصروفات</t>
  </si>
  <si>
    <t>الفئة</t>
  </si>
  <si>
    <t>الإجمالي</t>
  </si>
  <si>
    <t>الكل</t>
  </si>
  <si>
    <t>عدد البنود</t>
  </si>
  <si>
    <t>متوسط البند</t>
  </si>
  <si>
    <t>ملخص تنفيذي للمصروفات حسب الفئة</t>
  </si>
  <si>
    <t>آخر تحديث</t>
  </si>
  <si>
    <t>الفئة المختارة</t>
  </si>
  <si>
    <t>أعلى فئة</t>
  </si>
  <si>
    <t>التوزيع حسب الفئة</t>
  </si>
  <si>
    <t>أعلى البنود حسب الفئة المختارة</t>
  </si>
  <si>
    <t>المبلغ (EGP)</t>
  </si>
  <si>
    <t>% من الإجمالي</t>
  </si>
  <si>
    <t>فرق التوافق</t>
  </si>
  <si>
    <t>اسم البند</t>
  </si>
  <si>
    <t>كافة تفاصيل الأسماء حسب الفئة المختارة</t>
  </si>
  <si>
    <t>استخدم القائمة المنسدلة لتصفية المؤشرات وأعلى البنود وكافة تفاصيل الأسماء.</t>
  </si>
  <si>
    <t>حماده الكهربائي</t>
  </si>
  <si>
    <t xml:space="preserve">المبلغ </t>
  </si>
  <si>
    <t>محمد النقاش</t>
  </si>
  <si>
    <t>عيسي</t>
  </si>
  <si>
    <t>واخد دفعه (20.000)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</si>
</sst>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EGP]\ #,##0"/>
    <numFmt numFmtId="165" formatCode="dd/mm/yyyy"/>
    <numFmt numFmtId="166" formatCode="#,##0;[Red]\(#,##0\);\-"/>
    <numFmt numFmtId="167" formatCode="0.0%;[Red]\(0.0%\);\-"/>
    <numFmt numFmtId="168" formatCode="[$EGP]\ #,##0;[Red]\-[$EGP]\ #,##0;\-"/>
    <numFmt numFmtId="169" formatCode="[$EGP]\ #,##0_);\([$EGP]\ #,##0\)"/>
  </numFmts>
  <fonts count="2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i/>
      <sz val="14"/>
      <color rgb="FF1D2330"/>
      <name val="Calibri"/>
      <family val="2"/>
      <scheme val="minor"/>
    </font>
    <font>
      <b/>
      <sz val="14"/>
      <color rgb="FF22222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i/>
      <sz val="14"/>
      <color rgb="FF7F600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E6E6E6"/>
      </bottom>
      <diagonal/>
    </border>
    <border>
      <left/>
      <right/>
      <top style="medium">
        <color rgb="FF1D2330"/>
      </top>
      <bottom style="medium">
        <color rgb="FF1D2330"/>
      </bottom>
      <diagonal/>
    </border>
    <border>
      <left style="thin">
        <color rgb="FF1D2330"/>
      </left>
      <right/>
      <top style="thin">
        <color rgb="FF1D2330"/>
      </top>
      <bottom style="thin">
        <color rgb="FF1D2330"/>
      </bottom>
      <diagonal/>
    </border>
    <border>
      <left style="medium">
        <color rgb="FF1D2330"/>
      </left>
      <right style="medium">
        <color rgb="FF1D2330"/>
      </right>
      <top style="medium">
        <color rgb="FF1D2330"/>
      </top>
      <bottom style="medium">
        <color rgb="FF1D2330"/>
      </bottom>
      <diagonal/>
    </border>
    <border>
      <left style="medium">
        <color indexed="64"/>
      </left>
      <right/>
      <top style="medium">
        <color rgb="FF1D2330"/>
      </top>
      <bottom style="medium">
        <color rgb="FF1D2330"/>
      </bottom>
      <diagonal/>
    </border>
    <border>
      <left style="medium">
        <color indexed="64"/>
      </left>
      <right style="medium">
        <color indexed="64"/>
      </right>
      <top style="medium">
        <color rgb="FF1D2330"/>
      </top>
      <bottom style="medium">
        <color rgb="FF1D2330"/>
      </bottom>
      <diagonal/>
    </border>
    <border>
      <left/>
      <right style="medium">
        <color rgb="FF1D2330"/>
      </right>
      <top style="medium">
        <color rgb="FF1D2330"/>
      </top>
      <bottom style="medium">
        <color rgb="FF1D2330"/>
      </bottom>
      <diagonal/>
    </border>
    <border>
      <left/>
      <right style="medium">
        <color rgb="FFD6B656"/>
      </right>
      <top style="medium">
        <color rgb="FFD6B656"/>
      </top>
      <bottom style="medium">
        <color rgb="FFD6B656"/>
      </bottom>
      <diagonal/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0" xfId="0" applyNumberFormat="1" applyFont="1"/>
    <xf numFmtId="0" fontId="2" fillId="7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8" fontId="7" fillId="9" borderId="0" xfId="0" applyNumberFormat="1" applyFont="1" applyFill="1" applyAlignment="1">
      <alignment horizontal="center" vertical="center"/>
    </xf>
    <xf numFmtId="168" fontId="8" fillId="9" borderId="0" xfId="0" applyNumberFormat="1" applyFont="1" applyFill="1" applyAlignment="1">
      <alignment horizontal="center" vertical="center"/>
    </xf>
    <xf numFmtId="168" fontId="7" fillId="2" borderId="18" xfId="0" applyNumberFormat="1" applyFont="1" applyFill="1" applyBorder="1" applyAlignment="1">
      <alignment horizontal="center" vertical="center"/>
    </xf>
    <xf numFmtId="168" fontId="7" fillId="16" borderId="0" xfId="0" applyNumberFormat="1" applyFont="1" applyFill="1" applyAlignment="1">
      <alignment horizontal="center" vertical="center"/>
    </xf>
    <xf numFmtId="168" fontId="8" fillId="16" borderId="0" xfId="0" applyNumberFormat="1" applyFont="1" applyFill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68" fontId="11" fillId="9" borderId="0" xfId="0" applyNumberFormat="1" applyFont="1" applyFill="1" applyAlignment="1">
      <alignment horizontal="center"/>
    </xf>
    <xf numFmtId="0" fontId="9" fillId="12" borderId="3" xfId="0" applyNumberFormat="1" applyFont="1" applyFill="1" applyBorder="1" applyAlignment="1">
      <alignment horizontal="center" vertical="center"/>
    </xf>
    <xf numFmtId="0" fontId="12" fillId="11" borderId="20" xfId="0" applyNumberFormat="1" applyFont="1" applyFill="1" applyBorder="1" applyAlignment="1">
      <alignment horizontal="center" vertical="center"/>
    </xf>
    <xf numFmtId="168" fontId="13" fillId="14" borderId="19" xfId="0" applyNumberFormat="1" applyFont="1" applyFill="1" applyBorder="1" applyAlignment="1">
      <alignment horizontal="center" vertical="center"/>
    </xf>
    <xf numFmtId="166" fontId="13" fillId="14" borderId="19" xfId="0" applyNumberFormat="1" applyFont="1" applyFill="1" applyBorder="1" applyAlignment="1">
      <alignment horizontal="center" vertical="center"/>
    </xf>
    <xf numFmtId="0" fontId="9" fillId="12" borderId="15" xfId="0" applyNumberFormat="1" applyFont="1" applyFill="1" applyBorder="1" applyAlignment="1">
      <alignment horizontal="center" vertical="center"/>
    </xf>
    <xf numFmtId="168" fontId="13" fillId="14" borderId="16" xfId="0" applyNumberFormat="1" applyFont="1" applyFill="1" applyBorder="1" applyAlignment="1">
      <alignment horizontal="center" vertical="center"/>
    </xf>
    <xf numFmtId="0" fontId="13" fillId="14" borderId="19" xfId="0" applyNumberFormat="1" applyFont="1" applyFill="1" applyBorder="1" applyAlignment="1">
      <alignment horizontal="center" vertical="center"/>
    </xf>
    <xf numFmtId="168" fontId="14" fillId="9" borderId="0" xfId="0" applyNumberFormat="1" applyFont="1" applyFill="1" applyAlignment="1">
      <alignment horizontal="center"/>
    </xf>
    <xf numFmtId="0" fontId="15" fillId="0" borderId="0" xfId="0" applyFont="1"/>
    <xf numFmtId="0" fontId="11" fillId="9" borderId="12" xfId="0" applyNumberFormat="1" applyFont="1" applyFill="1" applyBorder="1" applyAlignment="1">
      <alignment horizontal="center" vertical="center"/>
    </xf>
    <xf numFmtId="168" fontId="13" fillId="9" borderId="12" xfId="0" applyNumberFormat="1" applyFont="1" applyFill="1" applyBorder="1" applyAlignment="1">
      <alignment horizontal="center" vertical="center"/>
    </xf>
    <xf numFmtId="0" fontId="11" fillId="9" borderId="0" xfId="0" applyNumberFormat="1" applyFont="1" applyFill="1" applyBorder="1" applyAlignment="1">
      <alignment horizontal="center" vertical="center"/>
    </xf>
    <xf numFmtId="168" fontId="13" fillId="9" borderId="0" xfId="0" applyNumberFormat="1" applyFont="1" applyFill="1" applyBorder="1" applyAlignment="1">
      <alignment horizontal="center" vertical="center"/>
    </xf>
    <xf numFmtId="167" fontId="13" fillId="9" borderId="0" xfId="0" applyNumberFormat="1" applyFont="1" applyFill="1" applyBorder="1" applyAlignment="1">
      <alignment horizontal="center" vertical="center"/>
    </xf>
    <xf numFmtId="0" fontId="11" fillId="9" borderId="3" xfId="0" applyNumberFormat="1" applyFont="1" applyFill="1" applyBorder="1" applyAlignment="1">
      <alignment horizontal="center" vertical="center"/>
    </xf>
    <xf numFmtId="168" fontId="13" fillId="9" borderId="14" xfId="0" applyNumberFormat="1" applyFont="1" applyFill="1" applyBorder="1" applyAlignment="1">
      <alignment horizontal="center" vertical="center"/>
    </xf>
    <xf numFmtId="167" fontId="13" fillId="9" borderId="3" xfId="0" applyNumberFormat="1" applyFont="1" applyFill="1" applyBorder="1" applyAlignment="1">
      <alignment horizontal="center" vertical="center"/>
    </xf>
    <xf numFmtId="0" fontId="11" fillId="9" borderId="13" xfId="0" applyNumberFormat="1" applyFont="1" applyFill="1" applyBorder="1" applyAlignment="1">
      <alignment horizontal="center" vertical="center"/>
    </xf>
    <xf numFmtId="168" fontId="13" fillId="9" borderId="13" xfId="0" applyNumberFormat="1" applyFont="1" applyFill="1" applyBorder="1" applyAlignment="1">
      <alignment horizontal="center" vertical="center"/>
    </xf>
    <xf numFmtId="0" fontId="16" fillId="15" borderId="21" xfId="0" applyNumberFormat="1" applyFont="1" applyFill="1" applyBorder="1" applyAlignment="1">
      <alignment horizontal="center" vertical="center"/>
    </xf>
    <xf numFmtId="0" fontId="16" fillId="9" borderId="0" xfId="0" applyNumberFormat="1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168" fontId="14" fillId="9" borderId="13" xfId="0" applyNumberFormat="1" applyFont="1" applyFill="1" applyBorder="1" applyAlignment="1">
      <alignment horizontal="center" vertical="center"/>
    </xf>
    <xf numFmtId="0" fontId="16" fillId="9" borderId="13" xfId="0" applyNumberFormat="1" applyFont="1" applyFill="1" applyBorder="1" applyAlignment="1">
      <alignment horizontal="center" vertical="center"/>
    </xf>
    <xf numFmtId="168" fontId="14" fillId="0" borderId="0" xfId="0" applyNumberFormat="1" applyFont="1" applyAlignment="1">
      <alignment horizontal="center"/>
    </xf>
    <xf numFmtId="0" fontId="16" fillId="9" borderId="0" xfId="0" applyNumberFormat="1" applyFont="1" applyFill="1" applyBorder="1" applyAlignment="1">
      <alignment horizontal="center" vertical="top"/>
    </xf>
    <xf numFmtId="0" fontId="11" fillId="10" borderId="2" xfId="0" applyNumberFormat="1" applyFont="1" applyFill="1" applyBorder="1" applyAlignment="1">
      <alignment horizontal="center"/>
    </xf>
    <xf numFmtId="0" fontId="11" fillId="10" borderId="3" xfId="0" applyNumberFormat="1" applyFont="1" applyFill="1" applyBorder="1" applyAlignment="1">
      <alignment horizontal="center"/>
    </xf>
    <xf numFmtId="0" fontId="11" fillId="10" borderId="3" xfId="0" applyNumberFormat="1" applyFont="1" applyFill="1" applyBorder="1" applyAlignment="1">
      <alignment horizontal="center" vertical="center"/>
    </xf>
    <xf numFmtId="165" fontId="11" fillId="8" borderId="22" xfId="0" applyNumberFormat="1" applyFont="1" applyFill="1" applyBorder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8" fontId="18" fillId="1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7" fillId="16" borderId="0" xfId="0" applyNumberFormat="1" applyFont="1" applyFill="1" applyAlignment="1">
      <alignment horizontal="center" vertical="center"/>
    </xf>
    <xf numFmtId="0" fontId="5" fillId="0" borderId="0" xfId="0" applyFont="1"/>
    <xf numFmtId="169" fontId="18" fillId="16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8" fontId="8" fillId="15" borderId="17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9" fillId="12" borderId="1" xfId="0" applyNumberFormat="1" applyFont="1" applyFill="1" applyBorder="1" applyAlignment="1">
      <alignment horizontal="center"/>
    </xf>
    <xf numFmtId="0" fontId="9" fillId="12" borderId="11" xfId="0" applyNumberFormat="1" applyFont="1" applyFill="1" applyBorder="1" applyAlignment="1">
      <alignment horizontal="center"/>
    </xf>
    <xf numFmtId="0" fontId="9" fillId="12" borderId="2" xfId="0" applyNumberFormat="1" applyFont="1" applyFill="1" applyBorder="1" applyAlignment="1">
      <alignment horizontal="center"/>
    </xf>
    <xf numFmtId="0" fontId="9" fillId="12" borderId="1" xfId="0" applyNumberFormat="1" applyFont="1" applyFill="1" applyBorder="1" applyAlignment="1">
      <alignment horizontal="center" vertical="center"/>
    </xf>
    <xf numFmtId="0" fontId="9" fillId="12" borderId="2" xfId="0" applyNumberFormat="1" applyFont="1" applyFill="1" applyBorder="1" applyAlignment="1">
      <alignment horizontal="center" vertical="center"/>
    </xf>
    <xf numFmtId="0" fontId="9" fillId="12" borderId="11" xfId="0" applyNumberFormat="1" applyFont="1" applyFill="1" applyBorder="1" applyAlignment="1">
      <alignment horizontal="center" vertical="center"/>
    </xf>
    <xf numFmtId="0" fontId="10" fillId="13" borderId="1" xfId="0" applyNumberFormat="1" applyFont="1" applyFill="1" applyBorder="1" applyAlignment="1">
      <alignment horizontal="center" vertical="center"/>
    </xf>
    <xf numFmtId="0" fontId="10" fillId="13" borderId="11" xfId="0" applyNumberFormat="1" applyFont="1" applyFill="1" applyBorder="1" applyAlignment="1">
      <alignment horizontal="center" vertical="center"/>
    </xf>
    <xf numFmtId="0" fontId="10" fillId="13" borderId="2" xfId="0" applyNumberFormat="1" applyFont="1" applyFill="1" applyBorder="1" applyAlignment="1">
      <alignment horizontal="center" vertical="center"/>
    </xf>
    <xf numFmtId="0" fontId="17" fillId="11" borderId="1" xfId="0" applyNumberFormat="1" applyFont="1" applyFill="1" applyBorder="1" applyAlignment="1">
      <alignment horizontal="center" vertical="center"/>
    </xf>
    <xf numFmtId="0" fontId="17" fillId="11" borderId="11" xfId="0" applyNumberFormat="1" applyFont="1" applyFill="1" applyBorder="1" applyAlignment="1">
      <alignment horizontal="center" vertical="center"/>
    </xf>
    <xf numFmtId="0" fontId="17" fillId="11" borderId="2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26">
    <dxf>
      <font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numFmt numFmtId="164" formatCode="[$EGP]\ 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numFmt numFmtId="164" formatCode="[$EGP]\ 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numFmt numFmtId="164" formatCode="[$EGP]\ 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family val="2"/>
        <scheme val="minor"/>
      </font>
      <numFmt numFmtId="164" formatCode="[$EGP]\ 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/>
              <a:t>المصروفات حسب الفئة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المبلغ (EGP)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Dashboard!$E$13:$E$16</c:f>
              <c:strCache>
                <c:ptCount val="4"/>
                <c:pt idx="0">
                  <c:v>صنايعيه</c:v>
                </c:pt>
                <c:pt idx="1">
                  <c:v>المقاولين</c:v>
                </c:pt>
                <c:pt idx="2">
                  <c:v>النقل</c:v>
                </c:pt>
                <c:pt idx="3">
                  <c:v>مرتبات</c:v>
                </c:pt>
              </c:strCache>
            </c:strRef>
          </c:cat>
          <c:val>
            <c:numRef>
              <c:f>Dashboard!$F$13:$F$16</c:f>
              <c:numCache>
                <c:formatCode>General</c:formatCode>
                <c:ptCount val="4"/>
                <c:pt idx="0">
                  <c:v>62228.333333333336</c:v>
                </c:pt>
                <c:pt idx="1">
                  <c:v>584046.4</c:v>
                </c:pt>
                <c:pt idx="2">
                  <c:v>34779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2-4912-BFBF-DEE2F2861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192576"/>
        <c:axId val="506530168"/>
      </c:barChart>
      <c:catAx>
        <c:axId val="25119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الفئة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30168"/>
        <c:crosses val="autoZero"/>
        <c:auto val="1"/>
        <c:lblAlgn val="ctr"/>
        <c:lblOffset val="100"/>
        <c:noMultiLvlLbl val="0"/>
      </c:catAx>
      <c:valAx>
        <c:axId val="50653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المبلغ (</a:t>
                </a:r>
                <a:r>
                  <a:rPr lang="en-US"/>
                  <a:t>EGP)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9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/>
              <a:t>أعلى البنود حسب الاختيار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Dashboard!$J$12</c:f>
              <c:strCache>
                <c:ptCount val="1"/>
                <c:pt idx="0">
                  <c:v>المبلغ (EGP)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Dashboard!$I$13:$I$17</c:f>
              <c:strCache>
                <c:ptCount val="5"/>
                <c:pt idx="0">
                  <c:v>أبناء أسيوط</c:v>
                </c:pt>
                <c:pt idx="1">
                  <c:v>احمد النقاش</c:v>
                </c:pt>
                <c:pt idx="2">
                  <c:v>أبو احمد</c:v>
                </c:pt>
                <c:pt idx="3">
                  <c:v>محمد رافت</c:v>
                </c:pt>
                <c:pt idx="4">
                  <c:v>عيسي</c:v>
                </c:pt>
              </c:strCache>
            </c:strRef>
          </c:cat>
          <c:val>
            <c:numRef>
              <c:f>Dashboard!$J$13:$J$17</c:f>
              <c:numCache>
                <c:formatCode>General</c:formatCode>
                <c:ptCount val="5"/>
                <c:pt idx="0">
                  <c:v>317991</c:v>
                </c:pt>
                <c:pt idx="1">
                  <c:v>64100</c:v>
                </c:pt>
                <c:pt idx="2">
                  <c:v>42550</c:v>
                </c:pt>
                <c:pt idx="3">
                  <c:v>37093.399999999994</c:v>
                </c:pt>
                <c:pt idx="4">
                  <c:v>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8-40CB-920F-1F0C70B8B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67495656"/>
        <c:axId val="467495296"/>
      </c:barChart>
      <c:catAx>
        <c:axId val="4674956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البند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95296"/>
        <c:crosses val="autoZero"/>
        <c:auto val="1"/>
        <c:lblAlgn val="ctr"/>
        <c:lblOffset val="100"/>
        <c:noMultiLvlLbl val="0"/>
      </c:catAx>
      <c:valAx>
        <c:axId val="46749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المبلغ (</a:t>
                </a:r>
                <a:r>
                  <a:rPr lang="en-US"/>
                  <a:t>EGP)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9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/>
              <a:t>توزيع المصروفات حسب الفئة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المبلغ (EGP)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Dashboard!$E$13:$E$16</c:f>
              <c:strCache>
                <c:ptCount val="4"/>
                <c:pt idx="0">
                  <c:v>صنايعيه</c:v>
                </c:pt>
                <c:pt idx="1">
                  <c:v>المقاولين</c:v>
                </c:pt>
                <c:pt idx="2">
                  <c:v>النقل</c:v>
                </c:pt>
                <c:pt idx="3">
                  <c:v>مرتبات</c:v>
                </c:pt>
              </c:strCache>
            </c:strRef>
          </c:cat>
          <c:val>
            <c:numRef>
              <c:f>Dashboard!$F$13:$F$16</c:f>
              <c:numCache>
                <c:formatCode>General</c:formatCode>
                <c:ptCount val="4"/>
                <c:pt idx="0">
                  <c:v>62228.333333333336</c:v>
                </c:pt>
                <c:pt idx="1">
                  <c:v>584046.4</c:v>
                </c:pt>
                <c:pt idx="2">
                  <c:v>34779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2-4932-B66E-2CEE63665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2232304"/>
        <c:axId val="262233384"/>
      </c:barChart>
      <c:catAx>
        <c:axId val="262232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الفئة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33384"/>
        <c:crosses val="autoZero"/>
        <c:auto val="1"/>
        <c:lblAlgn val="ctr"/>
        <c:lblOffset val="100"/>
        <c:noMultiLvlLbl val="0"/>
      </c:catAx>
      <c:valAx>
        <c:axId val="26223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المبلغ (</a:t>
                </a:r>
                <a:r>
                  <a:rPr lang="en-US"/>
                  <a:t>EGP)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مقارنة أعلى البنود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Dashboard!$J$12</c:f>
              <c:strCache>
                <c:ptCount val="1"/>
                <c:pt idx="0">
                  <c:v>المبلغ (EGP)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Dashboard!$I$13:$I$16</c:f>
              <c:strCache>
                <c:ptCount val="4"/>
                <c:pt idx="0">
                  <c:v>أبناء أسيوط</c:v>
                </c:pt>
                <c:pt idx="1">
                  <c:v>احمد النقاش</c:v>
                </c:pt>
                <c:pt idx="2">
                  <c:v>أبو احمد</c:v>
                </c:pt>
                <c:pt idx="3">
                  <c:v>محمد رافت</c:v>
                </c:pt>
              </c:strCache>
            </c:strRef>
          </c:cat>
          <c:val>
            <c:numRef>
              <c:f>Dashboard!$J$13:$J$16</c:f>
              <c:numCache>
                <c:formatCode>General</c:formatCode>
                <c:ptCount val="4"/>
                <c:pt idx="0">
                  <c:v>317991</c:v>
                </c:pt>
                <c:pt idx="1">
                  <c:v>64100</c:v>
                </c:pt>
                <c:pt idx="2">
                  <c:v>42550</c:v>
                </c:pt>
                <c:pt idx="3">
                  <c:v>37093.399999999994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E-41A5-8146-ADBC207B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959656"/>
        <c:axId val="250960376"/>
      </c:lineChart>
      <c:catAx>
        <c:axId val="250959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البند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60376"/>
        <c:crosses val="autoZero"/>
        <c:auto val="1"/>
        <c:lblAlgn val="ctr"/>
        <c:lblOffset val="100"/>
        <c:noMultiLvlLbl val="0"/>
      </c:catAx>
      <c:valAx>
        <c:axId val="250960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المبلغ (</a:t>
                </a:r>
                <a:r>
                  <a:rPr lang="en-US"/>
                  <a:t>EGP)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9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/>
              <a:t>مقارنة المصروفات حسب الفئة</a:t>
            </a:r>
          </a:p>
        </c:rich>
      </c:tx>
      <c:layout>
        <c:manualLayout>
          <c:xMode val="edge"/>
          <c:yMode val="edge"/>
          <c:x val="8.66310184403353E-2"/>
          <c:y val="2.3809389095824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99973248885494"/>
          <c:y val="0.1936507936507936"/>
          <c:w val="0.60491480741439274"/>
          <c:h val="0.512466566679165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Dashboard!$F$12</c:f>
              <c:strCache>
                <c:ptCount val="1"/>
                <c:pt idx="0">
                  <c:v>المبلغ (EGP)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Dashboard!$E$13:$E$16</c:f>
              <c:strCache>
                <c:ptCount val="4"/>
                <c:pt idx="0">
                  <c:v>صنايعيه</c:v>
                </c:pt>
                <c:pt idx="1">
                  <c:v>المقاولين</c:v>
                </c:pt>
                <c:pt idx="2">
                  <c:v>النقل</c:v>
                </c:pt>
                <c:pt idx="3">
                  <c:v>مرتبات</c:v>
                </c:pt>
              </c:strCache>
            </c:strRef>
          </c:cat>
          <c:val>
            <c:numRef>
              <c:f>Dashboard!$F$13:$F$16</c:f>
              <c:numCache>
                <c:formatCode>General</c:formatCode>
                <c:ptCount val="4"/>
                <c:pt idx="0">
                  <c:v>62228.333333333336</c:v>
                </c:pt>
                <c:pt idx="1">
                  <c:v>584046.4</c:v>
                </c:pt>
                <c:pt idx="2">
                  <c:v>34779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8-489C-821F-BB9D7015A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959296"/>
        <c:axId val="250949936"/>
      </c:barChart>
      <c:catAx>
        <c:axId val="250959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الفئة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49936"/>
        <c:crosses val="autoZero"/>
        <c:auto val="1"/>
        <c:lblAlgn val="ctr"/>
        <c:lblOffset val="100"/>
        <c:noMultiLvlLbl val="0"/>
      </c:catAx>
      <c:valAx>
        <c:axId val="25094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EG"/>
                  <a:t>المبلغ (</a:t>
                </a:r>
                <a:r>
                  <a:rPr lang="en-US"/>
                  <a:t>EGP)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/>
              <a:t>نسبة المصروفات حسب الفئة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Dashboard!$F$12</c:f>
              <c:strCache>
                <c:ptCount val="1"/>
                <c:pt idx="0">
                  <c:v>المبلغ (EGP)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77-44C5-99A9-647C63704A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377-44C5-99A9-647C63704A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77-44C5-99A9-647C63704A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18-4A21-B7FE-646CA0D825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Dashboard!$E$13:$E$16</c:f>
              <c:strCache>
                <c:ptCount val="4"/>
                <c:pt idx="0">
                  <c:v>صنايعيه</c:v>
                </c:pt>
                <c:pt idx="1">
                  <c:v>المقاولين</c:v>
                </c:pt>
                <c:pt idx="2">
                  <c:v>النقل</c:v>
                </c:pt>
                <c:pt idx="3">
                  <c:v>مرتبات</c:v>
                </c:pt>
              </c:strCache>
            </c:strRef>
          </c:cat>
          <c:val>
            <c:numRef>
              <c:f>Dashboard!$F$13:$F$16</c:f>
              <c:numCache>
                <c:formatCode>General</c:formatCode>
                <c:ptCount val="4"/>
                <c:pt idx="0">
                  <c:v>62228.333333333336</c:v>
                </c:pt>
                <c:pt idx="1">
                  <c:v>584046.4</c:v>
                </c:pt>
                <c:pt idx="2">
                  <c:v>34779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7-44C5-99A9-647C63704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ategorySpendColumn">
          <a:extLst>
            <a:ext uri="{FF2B5EF4-FFF2-40B4-BE49-F238E27FC236}">
              <a16:creationId xmlns:a16="http://schemas.microsoft.com/office/drawing/2014/main" id="{EF749332-A7F8-6912-D26A-F92D4211F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35</xdr:row>
      <xdr:rowOff>0</xdr:rowOff>
    </xdr:from>
    <xdr:to>
      <xdr:col>11</xdr:col>
      <xdr:colOff>381001</xdr:colOff>
      <xdr:row>50</xdr:row>
      <xdr:rowOff>179294</xdr:rowOff>
    </xdr:to>
    <xdr:graphicFrame macro="">
      <xdr:nvGraphicFramePr>
        <xdr:cNvPr id="4" name="TopItemsBar">
          <a:extLst>
            <a:ext uri="{FF2B5EF4-FFF2-40B4-BE49-F238E27FC236}">
              <a16:creationId xmlns:a16="http://schemas.microsoft.com/office/drawing/2014/main" id="{C20DD553-E4E3-1D34-DC1C-95DBBB9DD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438150</xdr:colOff>
      <xdr:row>35</xdr:row>
      <xdr:rowOff>0</xdr:rowOff>
    </xdr:to>
    <xdr:graphicFrame macro="">
      <xdr:nvGraphicFramePr>
        <xdr:cNvPr id="6" name="CategorySpendStacked">
          <a:extLst>
            <a:ext uri="{FF2B5EF4-FFF2-40B4-BE49-F238E27FC236}">
              <a16:creationId xmlns:a16="http://schemas.microsoft.com/office/drawing/2014/main" id="{CFCFB9C8-3E58-8DDB-07DF-6BD723EF2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7283</xdr:colOff>
      <xdr:row>50</xdr:row>
      <xdr:rowOff>182657</xdr:rowOff>
    </xdr:from>
    <xdr:to>
      <xdr:col>22</xdr:col>
      <xdr:colOff>451036</xdr:colOff>
      <xdr:row>65</xdr:row>
      <xdr:rowOff>182657</xdr:rowOff>
    </xdr:to>
    <xdr:graphicFrame macro="">
      <xdr:nvGraphicFramePr>
        <xdr:cNvPr id="8" name="TopItemsLine">
          <a:extLst>
            <a:ext uri="{FF2B5EF4-FFF2-40B4-BE49-F238E27FC236}">
              <a16:creationId xmlns:a16="http://schemas.microsoft.com/office/drawing/2014/main" id="{2147E4CD-82BA-F3B8-B09F-C51DE72D4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314326</xdr:colOff>
      <xdr:row>35</xdr:row>
      <xdr:rowOff>0</xdr:rowOff>
    </xdr:from>
    <xdr:to>
      <xdr:col>15</xdr:col>
      <xdr:colOff>104775</xdr:colOff>
      <xdr:row>50</xdr:row>
      <xdr:rowOff>180975</xdr:rowOff>
    </xdr:to>
    <xdr:graphicFrame macro="">
      <xdr:nvGraphicFramePr>
        <xdr:cNvPr id="10" name="CategoryShareStackedBar">
          <a:extLst>
            <a:ext uri="{FF2B5EF4-FFF2-40B4-BE49-F238E27FC236}">
              <a16:creationId xmlns:a16="http://schemas.microsoft.com/office/drawing/2014/main" id="{637CC66C-17F2-5772-B3A7-AF0B231E4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104776</xdr:colOff>
      <xdr:row>35</xdr:row>
      <xdr:rowOff>0</xdr:rowOff>
    </xdr:from>
    <xdr:to>
      <xdr:col>22</xdr:col>
      <xdr:colOff>447675</xdr:colOff>
      <xdr:row>50</xdr:row>
      <xdr:rowOff>180975</xdr:rowOff>
    </xdr:to>
    <xdr:graphicFrame macro="">
      <xdr:nvGraphicFramePr>
        <xdr:cNvPr id="12" name="CategorySharePieFinal">
          <a:extLst>
            <a:ext uri="{FF2B5EF4-FFF2-40B4-BE49-F238E27FC236}">
              <a16:creationId xmlns:a16="http://schemas.microsoft.com/office/drawing/2014/main" id="{5DC061C2-C9B5-6B46-61E1-818628891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10;&#1608;&#1587;&#1601;%20&#1593;&#1610;&#1583;.xlsx" TargetMode="External"/><Relationship Id="rId1" Type="http://schemas.openxmlformats.org/officeDocument/2006/relationships/externalLinkPath" Target="file:///D:\&#1578;&#1588;&#1594;&#1610;&#1604;%20206\&#1589;&#1606;&#1575;&#1610;&#1593;&#1610;&#1607;\&#1610;&#1608;&#1587;&#1601;%20&#1593;&#1610;&#158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587;&#1575;&#1574;&#1602;&#1610;&#1606;\&#1585;&#1605;&#1590;&#1575;&#1606;%20&#1606;&#1602;&#1604;.xlsx" TargetMode="External"/><Relationship Id="rId1" Type="http://schemas.openxmlformats.org/officeDocument/2006/relationships/externalLinkPath" Target="file:///D:\&#1578;&#1588;&#1594;&#1610;&#1604;%20206\&#1575;&#1604;&#1587;&#1575;&#1574;&#1602;&#1610;&#1606;\&#1585;&#1605;&#1590;&#1575;&#1606;%20&#1606;&#1602;&#1604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7;&#1575;&#1606;&#1610;.xlsx" TargetMode="External"/><Relationship Id="rId1" Type="http://schemas.openxmlformats.org/officeDocument/2006/relationships/externalLinkPath" Target="file:///D:\&#1578;&#1588;&#1594;&#1610;&#1604;%20206\&#1589;&#1606;&#1575;&#1610;&#1593;&#1610;&#1607;\&#1607;&#1575;&#1606;&#1610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587;&#1575;&#1574;&#1602;&#1610;&#1606;\&#1605;&#1581;&#1605;&#1583;%20&#1575;&#1604;&#1587;&#1610;&#1583;%20&#1606;&#1602;&#1604;.xlsx" TargetMode="External"/><Relationship Id="rId1" Type="http://schemas.openxmlformats.org/officeDocument/2006/relationships/externalLinkPath" Target="file:///D:\&#1578;&#1588;&#1594;&#1610;&#1604;%20206\&#1575;&#1604;&#1587;&#1575;&#1574;&#1602;&#1610;&#1606;\&#1605;&#1581;&#1605;&#1583;%20&#1575;&#1604;&#1587;&#1610;&#1583;%20&#1606;&#1602;&#1604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5;&#1581;&#1605;&#1583;%20&#1593;&#1601;&#1610;&#1601;&#1610;.xlsx" TargetMode="External"/><Relationship Id="rId1" Type="http://schemas.openxmlformats.org/officeDocument/2006/relationships/externalLinkPath" Target="file:///D:\&#1578;&#1588;&#1594;&#1610;&#1604;%20206\&#1589;&#1606;&#1575;&#1610;&#1593;&#1610;&#1607;\&#1605;&#1581;&#1605;&#1583;%20&#1593;&#1601;&#1610;&#1601;&#1610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75;&#1581;&#1605;&#1583;%20&#1575;&#1604;&#1606;&#1602;&#1575;&#1588;.xlsx" TargetMode="External"/><Relationship Id="rId1" Type="http://schemas.openxmlformats.org/officeDocument/2006/relationships/externalLinkPath" Target="file:///D:\&#1578;&#1588;&#1594;&#1610;&#1604;%20206\&#1575;&#1604;&#1605;&#1602;&#1575;&#1608;&#1604;&#1610;&#1606;\&#1575;&#1581;&#1605;&#1583;%20&#1575;&#1604;&#1606;&#1602;&#1575;&#1588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587;&#1575;&#1574;&#1602;&#1610;&#1606;\&#1587;&#1610;&#1583;%20&#1575;&#1604;&#1575;&#1576;&#1610;&#1590;.xlsx" TargetMode="External"/><Relationship Id="rId1" Type="http://schemas.openxmlformats.org/officeDocument/2006/relationships/externalLinkPath" Target="file:///D:\&#1578;&#1588;&#1594;&#1610;&#1604;%20206\&#1575;&#1604;&#1587;&#1575;&#1574;&#1602;&#1610;&#1606;\&#1587;&#1610;&#1583;%20&#1575;&#1604;&#1575;&#1576;&#1610;&#1590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80;&#1608;&#1575;&#1583;&#1607;.xlsx" TargetMode="External"/><Relationship Id="rId1" Type="http://schemas.openxmlformats.org/officeDocument/2006/relationships/externalLinkPath" Target="file:///D:\&#1578;&#1588;&#1594;&#1610;&#1604;%20206\&#1589;&#1606;&#1575;&#1610;&#1593;&#1610;&#1607;\&#1580;&#1608;&#1575;&#1583;&#1607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75;&#1604;&#1588;&#1610;&#1582;%20&#1593;&#1605;&#1585;.xlsx" TargetMode="External"/><Relationship Id="rId1" Type="http://schemas.openxmlformats.org/officeDocument/2006/relationships/externalLinkPath" Target="file:///D:\&#1578;&#1588;&#1594;&#1610;&#1604;%20206\&#1575;&#1604;&#1605;&#1602;&#1575;&#1608;&#1604;&#1610;&#1606;\&#1575;&#1604;&#1588;&#1610;&#1582;%20&#1593;&#1605;&#1585;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5;&#1581;&#1605;&#1583;%20&#1605;&#1589;&#1576;&#1581;.xlsx" TargetMode="External"/><Relationship Id="rId1" Type="http://schemas.openxmlformats.org/officeDocument/2006/relationships/externalLinkPath" Target="file:///D:\&#1578;&#1588;&#1594;&#1610;&#1604;%20206\&#1589;&#1606;&#1575;&#1610;&#1593;&#1610;&#1607;\&#1605;&#1581;&#1605;&#1583;%20&#1605;&#1589;&#1576;&#158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8;&#1588;&#1594;&#1610;&#1604;%20206\&#1575;&#1604;&#1605;&#1602;&#1575;&#1608;&#1604;&#1610;&#1606;\&#1605;&#1581;&#1605;&#1583;%20&#1581;&#1587;&#1610;&#1606;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5;&#1581;&#1605;&#1583;%20&#1589;&#1576;&#1581;&#1610;.xlsx" TargetMode="External"/><Relationship Id="rId1" Type="http://schemas.openxmlformats.org/officeDocument/2006/relationships/externalLinkPath" Target="file:///D:\&#1578;&#1588;&#1594;&#1610;&#1604;%20206\&#1589;&#1606;&#1575;&#1610;&#1593;&#1610;&#1607;\&#1605;&#1581;&#1605;&#1583;%20&#1589;&#1576;&#1581;&#1610;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605;&#1581;&#1605;&#1583;%20&#1585;&#1575;&#1601;&#1578;.xlsx" TargetMode="External"/><Relationship Id="rId1" Type="http://schemas.openxmlformats.org/officeDocument/2006/relationships/externalLinkPath" Target="file:///D:\&#1578;&#1588;&#1594;&#1610;&#1604;%20206\&#1575;&#1604;&#1605;&#1602;&#1575;&#1608;&#1604;&#1610;&#1606;\&#1605;&#1581;&#1605;&#1583;%20&#1585;&#1575;&#1601;&#1578;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93;&#1604;&#1575;&#1569;%20&#1605;&#1581;&#1605;&#1583;.xlsx" TargetMode="External"/><Relationship Id="rId1" Type="http://schemas.openxmlformats.org/officeDocument/2006/relationships/externalLinkPath" Target="file:///D:\&#1578;&#1588;&#1594;&#1610;&#1604;%20206\&#1589;&#1606;&#1575;&#1610;&#1593;&#1610;&#1607;\&#1593;&#1604;&#1575;&#1569;%20&#1605;&#1581;&#1605;&#1583;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75;&#1576;&#1608;%20&#1575;&#1581;&#1605;&#1583;.xlsx" TargetMode="External"/><Relationship Id="rId1" Type="http://schemas.openxmlformats.org/officeDocument/2006/relationships/externalLinkPath" Target="file:///D:\&#1578;&#1588;&#1594;&#1610;&#1604;%20206\&#1575;&#1604;&#1605;&#1602;&#1575;&#1608;&#1604;&#1610;&#1606;\&#1575;&#1576;&#1608;%20&#1575;&#1581;&#1605;&#1583;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1;&#1585;&#1610;&#1583;.xlsx" TargetMode="External"/><Relationship Id="rId1" Type="http://schemas.openxmlformats.org/officeDocument/2006/relationships/externalLinkPath" Target="file:///D:\&#1578;&#1588;&#1594;&#1610;&#1604;%20206\&#1589;&#1606;&#1575;&#1610;&#1593;&#1610;&#1607;\&#1601;&#1585;&#1610;&#1583;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603;&#1585;&#1610;&#1605;%20&#1575;&#1604;&#1603;&#1607;&#1585;&#1576;&#1575;&#1574;&#1610;.xlsx" TargetMode="External"/><Relationship Id="rId1" Type="http://schemas.openxmlformats.org/officeDocument/2006/relationships/externalLinkPath" Target="file:///D:\&#1578;&#1588;&#1594;&#1610;&#1604;%20206\&#1575;&#1604;&#1605;&#1602;&#1575;&#1608;&#1604;&#1610;&#1606;\&#1603;&#1585;&#1610;&#1605;%20&#1575;&#1604;&#1603;&#1607;&#1585;&#1576;&#1575;&#1574;&#1610;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75;&#1581;&#1605;&#1583;%20&#1593;&#1585;&#1601;&#1607;.xlsx" TargetMode="External"/><Relationship Id="rId1" Type="http://schemas.openxmlformats.org/officeDocument/2006/relationships/externalLinkPath" Target="file:///D:\&#1578;&#1588;&#1594;&#1610;&#1604;%20206\&#1589;&#1606;&#1575;&#1610;&#1593;&#1610;&#1607;\&#1575;&#1581;&#1605;&#1583;%20&#1593;&#1585;&#1601;&#1607;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75;&#1581;&#1605;&#1583;%20&#1605;&#1589;&#1591;&#1601;&#1610;.xlsx" TargetMode="External"/><Relationship Id="rId1" Type="http://schemas.openxmlformats.org/officeDocument/2006/relationships/externalLinkPath" Target="file:///D:\&#1578;&#1588;&#1594;&#1610;&#1604;%20206\&#1589;&#1606;&#1575;&#1610;&#1593;&#1610;&#1607;\&#1575;&#1581;&#1605;&#1583;%20&#1605;&#1589;&#1591;&#1601;&#1610;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75;&#1581;&#1605;&#1583;%20&#1603;&#1608;&#1585;&#1610;.xlsx" TargetMode="External"/><Relationship Id="rId1" Type="http://schemas.openxmlformats.org/officeDocument/2006/relationships/externalLinkPath" Target="file:///D:\&#1578;&#1588;&#1594;&#1610;&#1604;%20206\&#1575;&#1604;&#1605;&#1602;&#1575;&#1608;&#1604;&#1610;&#1606;\&#1575;&#1581;&#1605;&#1583;%20&#1603;&#1608;&#1585;&#1610;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5;&#1581;&#1605;&#1583;%20&#1579;&#1585;&#1608;&#1578;.xlsx" TargetMode="External"/><Relationship Id="rId1" Type="http://schemas.openxmlformats.org/officeDocument/2006/relationships/externalLinkPath" Target="file:///D:\&#1578;&#1588;&#1594;&#1610;&#1604;%20206\&#1589;&#1606;&#1575;&#1610;&#1593;&#1610;&#1607;\&#1605;&#1581;&#1605;&#1583;%20&#1579;&#1585;&#1608;&#1578;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75;&#1576;&#1606;&#1575;&#1569;%20&#1575;&#1587;&#1610;&#1608;&#1591;.xlsx" TargetMode="External"/><Relationship Id="rId1" Type="http://schemas.openxmlformats.org/officeDocument/2006/relationships/externalLinkPath" Target="file:///D:\&#1578;&#1588;&#1594;&#1610;&#1604;%20206\&#1575;&#1604;&#1605;&#1602;&#1575;&#1608;&#1604;&#1610;&#1606;\&#1575;&#1576;&#1606;&#1575;&#1569;%20&#1575;&#1587;&#1610;&#1608;&#1591;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75;&#1581;&#1605;&#1583;%20&#1585;&#1605;&#1590;&#1575;&#1606;.xlsx" TargetMode="External"/><Relationship Id="rId1" Type="http://schemas.openxmlformats.org/officeDocument/2006/relationships/externalLinkPath" Target="file:///D:\&#1578;&#1588;&#1594;&#1610;&#1604;%20206\&#1589;&#1606;&#1575;&#1610;&#1593;&#1610;&#1607;\&#1575;&#1581;&#1605;&#1583;%20&#1585;&#1605;&#1590;&#1575;&#1606;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81;&#1587;&#1606;%20&#1575;&#1604;&#1605;&#1608;&#1575;&#1606;.xlsx" TargetMode="External"/><Relationship Id="rId1" Type="http://schemas.openxmlformats.org/officeDocument/2006/relationships/externalLinkPath" Target="file:///D:\&#1578;&#1588;&#1594;&#1610;&#1604;%20206\&#1575;&#1604;&#1605;&#1602;&#1575;&#1608;&#1604;&#1610;&#1606;\&#1581;&#1587;&#1606;%20&#1575;&#1604;&#1605;&#1608;&#1575;&#1606;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85;&#1590;&#1575;%20&#1586;&#1603;&#1610;.xlsx" TargetMode="External"/><Relationship Id="rId1" Type="http://schemas.openxmlformats.org/officeDocument/2006/relationships/externalLinkPath" Target="file:///D:\&#1578;&#1588;&#1594;&#1610;&#1604;%20206\&#1589;&#1606;&#1575;&#1610;&#1593;&#1610;&#1607;\&#1585;&#1590;&#1575;%20&#1586;&#1603;&#1610;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85;&#1590;&#1575;%20&#1575;&#1604;&#1581;&#1583;&#1575;&#1583;.xlsx" TargetMode="External"/><Relationship Id="rId1" Type="http://schemas.openxmlformats.org/officeDocument/2006/relationships/externalLinkPath" Target="file:///D:\&#1578;&#1588;&#1594;&#1610;&#1604;%20206\&#1575;&#1604;&#1605;&#1602;&#1575;&#1608;&#1604;&#1610;&#1606;\&#1585;&#1590;&#1575;%20&#1575;&#1604;&#1581;&#1583;&#1575;&#1583;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75;&#1576;&#1585;&#1575;&#1607;&#1610;&#1605;%20&#1575;&#1604;&#1587;&#1610;&#1583;.xlsx" TargetMode="External"/><Relationship Id="rId1" Type="http://schemas.openxmlformats.org/officeDocument/2006/relationships/externalLinkPath" Target="file:///D:\&#1578;&#1588;&#1594;&#1610;&#1604;%20206\&#1589;&#1606;&#1575;&#1610;&#1593;&#1610;&#1607;\&#1575;&#1576;&#1585;&#1575;&#1607;&#1610;&#1605;%20&#1575;&#1604;&#1587;&#1610;&#1583;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605;&#1589;&#1591;&#1601;&#1610;%20&#1575;&#1604;&#1603;&#1607;&#1585;&#1576;&#1575;&#1574;&#1610;.xlsx" TargetMode="External"/><Relationship Id="rId1" Type="http://schemas.openxmlformats.org/officeDocument/2006/relationships/externalLinkPath" Target="file:///D:\&#1578;&#1588;&#1594;&#1610;&#1604;%20206\&#1575;&#1604;&#1605;&#1602;&#1575;&#1608;&#1604;&#1610;&#1606;\&#1605;&#1589;&#1591;&#1601;&#1610;%20&#1575;&#1604;&#1603;&#1607;&#1585;&#1576;&#1575;&#1574;&#1610;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93;&#1576;&#1583;%20&#1575;&#1604;&#1593;&#1586;&#1610;&#1586;%20&#1589;&#1576;&#1581;&#1610;.xlsx" TargetMode="External"/><Relationship Id="rId1" Type="http://schemas.openxmlformats.org/officeDocument/2006/relationships/externalLinkPath" Target="file:///D:\&#1578;&#1588;&#1594;&#1610;&#1604;%20206\&#1589;&#1606;&#1575;&#1610;&#1593;&#1610;&#1607;\&#1593;&#1576;&#1583;%20&#1575;&#1604;&#1593;&#1586;&#1610;&#1586;%20&#1589;&#1576;&#1581;&#1610;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603;&#1605;&#1575;&#1604;%20&#1575;&#1604;&#1581;&#1575;&#1601;&#1610;.xlsx" TargetMode="External"/><Relationship Id="rId1" Type="http://schemas.openxmlformats.org/officeDocument/2006/relationships/externalLinkPath" Target="file:///D:\&#1578;&#1588;&#1594;&#1610;&#1604;%20206\&#1575;&#1604;&#1605;&#1602;&#1575;&#1608;&#1604;&#1610;&#1606;\&#1603;&#1605;&#1575;&#1604;%20&#1575;&#1604;&#1581;&#1575;&#1601;&#1610;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75;&#1581;&#1605;&#1583;%20&#1575;&#1604;&#1605;&#1604;&#1610;&#1580;&#1610;.xlsx" TargetMode="External"/><Relationship Id="rId1" Type="http://schemas.openxmlformats.org/officeDocument/2006/relationships/externalLinkPath" Target="file:///D:\&#1578;&#1588;&#1594;&#1610;&#1604;%20206\&#1589;&#1606;&#1575;&#1610;&#1593;&#1610;&#1607;\&#1575;&#1581;&#1605;&#1583;%20&#1575;&#1604;&#1605;&#1604;&#1610;&#1580;&#1610;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75;&#1604;&#1605;&#1602;&#1575;&#1608;&#1604;&#1610;&#1606;\&#1593;&#1610;&#1587;&#1610;.xlsx" TargetMode="External"/><Relationship Id="rId1" Type="http://schemas.openxmlformats.org/officeDocument/2006/relationships/externalLinkPath" Target="file:///D:\&#1578;&#1588;&#1594;&#1610;&#1604;%20206\&#1575;&#1604;&#1605;&#1602;&#1575;&#1608;&#1604;&#1610;&#1606;\&#1593;&#1610;&#1587;&#1610;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86;&#1603;&#1585;&#1610;&#1575;%20&#1575;&#1581;&#1605;&#1583;.xlsx" TargetMode="External"/><Relationship Id="rId1" Type="http://schemas.openxmlformats.org/officeDocument/2006/relationships/externalLinkPath" Target="file:///D:\&#1578;&#1588;&#1594;&#1610;&#1604;%20206\&#1589;&#1606;&#1575;&#1610;&#1593;&#1610;&#1607;\&#1586;&#1603;&#1585;&#1610;&#1575;%20&#1575;&#1581;&#1605;&#1583;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05;&#1589;&#1591;&#1601;&#1610;%20&#1605;&#1587;&#1593;&#1583;.xlsx" TargetMode="External"/><Relationship Id="rId1" Type="http://schemas.openxmlformats.org/officeDocument/2006/relationships/externalLinkPath" Target="file:///D:\&#1578;&#1588;&#1594;&#1610;&#1604;%20206\&#1589;&#1606;&#1575;&#1610;&#1593;&#1610;&#1607;\&#1605;&#1589;&#1591;&#1601;&#1610;%20&#1605;&#1587;&#1593;&#1583;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93;&#1576;&#1583;&#1607;%20&#1605;&#1581;&#1605;&#1583;.xlsx" TargetMode="External"/><Relationship Id="rId1" Type="http://schemas.openxmlformats.org/officeDocument/2006/relationships/externalLinkPath" Target="file:///D:\&#1578;&#1588;&#1594;&#1610;&#1604;%20206\&#1589;&#1606;&#1575;&#1610;&#1593;&#1610;&#1607;\&#1593;&#1576;&#1583;&#1607;%20&#1605;&#1581;&#1605;&#1583;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93;&#1605;&#1585;%20&#1601;&#1608;&#1586;&#1610;.xlsx" TargetMode="External"/><Relationship Id="rId1" Type="http://schemas.openxmlformats.org/officeDocument/2006/relationships/externalLinkPath" Target="file:///D:\&#1578;&#1588;&#1594;&#1610;&#1604;%20206\&#1589;&#1606;&#1575;&#1610;&#1593;&#1610;&#1607;\&#1593;&#1605;&#1585;%20&#1601;&#1608;&#1586;&#1610;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593;&#1576;&#1583;%20&#1575;&#1604;&#1601;&#1578;&#1575;&#1581;.xlsx" TargetMode="External"/><Relationship Id="rId1" Type="http://schemas.openxmlformats.org/officeDocument/2006/relationships/externalLinkPath" Target="file:///D:\&#1578;&#1588;&#1594;&#1610;&#1604;%20206\&#1589;&#1606;&#1575;&#1610;&#1593;&#1610;&#1607;\&#1593;&#1576;&#1583;%20&#1575;&#1604;&#1601;&#1578;&#1575;&#1581;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578;&#1588;&#1594;&#1610;&#1604;%20206\&#1589;&#1606;&#1575;&#1610;&#1593;&#1610;&#1607;\&#1610;&#1608;&#1587;&#1601;%20&#1593;&#1589;&#1575;&#1605;.xlsx" TargetMode="External"/><Relationship Id="rId1" Type="http://schemas.openxmlformats.org/officeDocument/2006/relationships/externalLinkPath" Target="file:///D:\&#1578;&#1588;&#1594;&#1610;&#1604;%20206\&#1589;&#1606;&#1575;&#1610;&#1593;&#1610;&#1607;\&#1610;&#1608;&#1587;&#1601;%20&#1593;&#1589;&#1575;&#16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>
        <row r="41">
          <cell r="F41">
            <v>1250</v>
          </cell>
        </row>
      </sheetData>
      <sheetData sheetId="7"/>
      <sheetData sheetId="8">
        <row r="87">
          <cell r="F87">
            <v>4855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هر 1"/>
    </sheetNames>
    <sheetDataSet>
      <sheetData sheetId="0">
        <row r="82">
          <cell r="F82">
            <v>21000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2">
          <cell r="F92">
            <v>6117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هر 1"/>
    </sheetNames>
    <sheetDataSet>
      <sheetData sheetId="0">
        <row r="106">
          <cell r="F106">
            <v>12550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4758</v>
          </cell>
        </row>
      </sheetData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هر 1"/>
    </sheetNames>
    <sheetDataSet>
      <sheetData sheetId="0">
        <row r="51">
          <cell r="D51">
            <v>64100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ورقة1"/>
      <sheetName val="ورقة2"/>
      <sheetName val="بدايه شهر 8"/>
    </sheetNames>
    <sheetDataSet>
      <sheetData sheetId="0"/>
      <sheetData sheetId="1"/>
      <sheetData sheetId="2"/>
      <sheetData sheetId="3">
        <row r="232">
          <cell r="G232">
            <v>1229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F72">
            <v>5450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هر 1"/>
    </sheetNames>
    <sheetDataSet>
      <sheetData sheetId="0">
        <row r="52">
          <cell r="D52">
            <v>1000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0">
          <cell r="F70">
            <v>5160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51">
          <cell r="D51">
            <v>30650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F72">
            <v>1322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E51">
            <v>37093.399999999994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0">
          <cell r="F80">
            <v>1170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9">
          <cell r="D79">
            <v>42550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F72">
            <v>5130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صنعيه"/>
      <sheetName val="ورقة1"/>
    </sheetNames>
    <sheetDataSet>
      <sheetData sheetId="0">
        <row r="95">
          <cell r="D95">
            <v>18845</v>
          </cell>
        </row>
      </sheetData>
      <sheetData sheetId="1">
        <row r="38">
          <cell r="D38">
            <v>1000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2">
          <cell r="F62">
            <v>4300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0">
          <cell r="F60">
            <v>2852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D51">
            <v>3600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2">
          <cell r="F72">
            <v>2420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هر 1"/>
    </sheetNames>
    <sheetDataSet>
      <sheetData sheetId="0">
        <row r="44">
          <cell r="D44">
            <v>317991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1.25</v>
          </cell>
        </row>
      </sheetData>
      <sheetData sheetId="10"/>
      <sheetData sheetId="11"/>
      <sheetData sheetId="1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ورقة1"/>
      <sheetName val="ورقة2"/>
    </sheetNames>
    <sheetDataSet>
      <sheetData sheetId="0"/>
      <sheetData sheetId="1"/>
      <sheetData sheetId="2">
        <row r="37">
          <cell r="D37">
            <v>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6">
          <cell r="F56">
            <v>4645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D51">
            <v>31500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4">
          <cell r="F44">
            <v>0.58333333333333326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4">
          <cell r="D44">
            <v>3000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1">
          <cell r="F41">
            <v>0</v>
          </cell>
        </row>
      </sheetData>
      <sheetData sheetId="10"/>
      <sheetData sheetId="11"/>
      <sheetData sheetId="1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D51">
            <v>-14900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3235</v>
          </cell>
        </row>
      </sheetData>
      <sheetData sheetId="10"/>
      <sheetData sheetId="11"/>
      <sheetData sheetId="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1">
          <cell r="D51">
            <v>32117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1030.0000000000009</v>
          </cell>
        </row>
      </sheetData>
      <sheetData sheetId="10"/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3400.5</v>
          </cell>
        </row>
      </sheetData>
      <sheetData sheetId="10"/>
      <sheetData sheetId="11"/>
      <sheetData sheetId="1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897.49999999999955</v>
          </cell>
        </row>
      </sheetData>
      <sheetData sheetId="10"/>
      <sheetData sheetId="11"/>
      <sheetData sheetId="1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1632.5</v>
          </cell>
        </row>
      </sheetData>
      <sheetData sheetId="10"/>
      <sheetData sheetId="11"/>
      <sheetData sheetId="1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729.99999999999909</v>
          </cell>
        </row>
      </sheetData>
      <sheetData sheetId="10"/>
      <sheetData sheetId="11"/>
      <sheetData sheetId="1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شيت مساعد"/>
      <sheetName val="شهر 1"/>
      <sheetName val="شهر 2"/>
      <sheetName val="شهر 3"/>
      <sheetName val="شهر 4"/>
      <sheetName val="شهر 5"/>
      <sheetName val="شهر 6"/>
      <sheetName val="شهر 7"/>
      <sheetName val="شهر 8"/>
      <sheetName val="شهر 9"/>
      <sheetName val="شهر 10"/>
      <sheetName val="شهر 11"/>
      <sheetName val="شهر 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0">
          <cell r="F40">
            <v>1872</v>
          </cell>
        </row>
      </sheetData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FCC85F-5655-42D0-8B8D-6364420D0BEA}" name="الجدول1610" displayName="الجدول1610" ref="B7:C29" totalsRowShown="0" headerRowDxfId="25" dataDxfId="23" headerRowBorderDxfId="24" tableBorderDxfId="22">
  <tableColumns count="2">
    <tableColumn id="1" xr3:uid="{62BB9B4A-B965-4BDB-B132-04ABD2406044}" name="الاسم " dataDxfId="21"/>
    <tableColumn id="2" xr3:uid="{624412EA-AE10-4587-BA77-CBCC9F2E0A75}" name="المبلغ" dataDxfId="2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61D6BE-F224-496B-BBC9-C50CB8836362}" name="الجدول3711" displayName="الجدول3711" ref="E7:F23" totalsRowShown="0" headerRowDxfId="19" dataDxfId="17" headerRowBorderDxfId="18" tableBorderDxfId="16">
  <tableColumns count="2">
    <tableColumn id="1" xr3:uid="{6AB5F769-92D7-4A68-ABEC-CA89C5C601B9}" name="الاسم " dataDxfId="15"/>
    <tableColumn id="2" xr3:uid="{877D282C-D5AC-4092-9694-27FC760D0146}" name="المبلغ " dataDxfId="1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1318E0-C1A1-4BD9-83AD-D22B5D0BBC40}" name="الجدول4812" displayName="الجدول4812" ref="H7:I11" totalsRowShown="0" headerRowDxfId="13" dataDxfId="11" headerRowBorderDxfId="12" tableBorderDxfId="10">
  <tableColumns count="2">
    <tableColumn id="1" xr3:uid="{7E68E4D3-E832-4AA3-B6A3-44B903FE8B70}" name="الاسم " dataDxfId="9"/>
    <tableColumn id="2" xr3:uid="{E64CF24E-1A1B-410E-97C8-386A988503EC}" name="المبلغ" dataDxfId="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F71ECB-EF2D-4665-ADF3-40083ECA1519}" name="الجدول2913" displayName="الجدول2913" ref="K7:L11" totalsRowShown="0" headerRowDxfId="7" dataDxfId="5" headerRowBorderDxfId="6" tableBorderDxfId="4">
  <tableColumns count="2">
    <tableColumn id="1" xr3:uid="{017A3690-B968-4261-9080-7AFBDA44FF70}" name="الاسم" dataDxfId="3"/>
    <tableColumn id="2" xr3:uid="{75BC19CB-0C07-4260-8BBC-01A169B5C12F}" name="المبلغ 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ED823-7F23-45D1-8B35-9F1CFB302DF5}">
  <we:reference id="wa200010215" version="2.0.0.1" store="ar-SA" storeType="OMEX"/>
  <we:alternateReferences>
    <we:reference id="wa200010215" version="2.0.0.1" store="WA200010215" storeType="OMEX"/>
  </we:alternateReferences>
  <we:properties>
    <we:property name="bps.codex_control.document_id" value="&quot;6af80461-737f-47e8-a8b3-c253d4585d1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5DAF-C081-480F-AB11-53B5D610E0DE}">
  <dimension ref="B1:L31"/>
  <sheetViews>
    <sheetView rightToLeft="1" tabSelected="1" topLeftCell="A3" zoomScaleNormal="100" workbookViewId="0">
      <selection activeCell="G17" sqref="G17"/>
    </sheetView>
  </sheetViews>
  <sheetFormatPr defaultColWidth="9.140625" defaultRowHeight="21" x14ac:dyDescent="0.25"/>
  <cols>
    <col min="1" max="1" width="9.140625" style="1"/>
    <col min="2" max="2" width="26.7109375" style="1" customWidth="1"/>
    <col min="3" max="3" width="20.5703125" style="1" customWidth="1"/>
    <col min="4" max="4" width="17.42578125" style="54" bestFit="1" customWidth="1"/>
    <col min="5" max="5" width="24.7109375" style="1" customWidth="1"/>
    <col min="6" max="6" width="19" style="1" customWidth="1"/>
    <col min="7" max="7" width="27.28515625" style="1" bestFit="1" customWidth="1"/>
    <col min="8" max="8" width="22.140625" style="1" bestFit="1" customWidth="1"/>
    <col min="9" max="9" width="17.140625" style="1" customWidth="1"/>
    <col min="10" max="10" width="17.28515625" style="1" bestFit="1" customWidth="1"/>
    <col min="11" max="11" width="18.28515625" style="1" customWidth="1"/>
    <col min="12" max="12" width="17.140625" style="1" customWidth="1"/>
    <col min="13" max="16384" width="9.140625" style="1"/>
  </cols>
  <sheetData>
    <row r="1" spans="2:12" ht="21.75" thickBot="1" x14ac:dyDescent="0.3"/>
    <row r="2" spans="2:12" ht="21.75" thickBot="1" x14ac:dyDescent="0.3">
      <c r="C2" s="59" t="s">
        <v>21</v>
      </c>
      <c r="D2" s="60"/>
      <c r="E2" s="60"/>
      <c r="F2" s="60"/>
      <c r="G2" s="60"/>
      <c r="H2" s="60"/>
      <c r="I2" s="61"/>
    </row>
    <row r="3" spans="2:12" ht="27" customHeight="1" thickBot="1" x14ac:dyDescent="0.3">
      <c r="C3" s="62">
        <v>46032</v>
      </c>
      <c r="D3" s="63"/>
      <c r="E3" s="63"/>
      <c r="F3" s="63"/>
      <c r="G3" s="63"/>
      <c r="H3" s="63"/>
      <c r="I3" s="64"/>
    </row>
    <row r="4" spans="2:12" ht="21.75" thickBot="1" x14ac:dyDescent="0.3">
      <c r="B4" s="67">
        <f>C30+F24+I11+L12</f>
        <v>681053.7333333334</v>
      </c>
      <c r="C4" s="68"/>
      <c r="D4" s="68"/>
      <c r="E4" s="68"/>
      <c r="F4" s="68"/>
      <c r="G4" s="68"/>
      <c r="H4" s="68"/>
      <c r="I4" s="68"/>
      <c r="J4" s="68"/>
      <c r="K4" s="68"/>
      <c r="L4" s="69"/>
    </row>
    <row r="5" spans="2:12" ht="21.75" thickBot="1" x14ac:dyDescent="0.3">
      <c r="B5" s="70"/>
      <c r="C5" s="71"/>
      <c r="D5" s="71"/>
      <c r="E5" s="71"/>
      <c r="F5" s="71"/>
      <c r="G5" s="71"/>
      <c r="H5" s="71"/>
      <c r="I5" s="71"/>
      <c r="J5" s="71"/>
      <c r="K5" s="71"/>
      <c r="L5" s="72"/>
    </row>
    <row r="6" spans="2:12" ht="21.75" thickBot="1" x14ac:dyDescent="0.3">
      <c r="B6" s="73" t="s">
        <v>0</v>
      </c>
      <c r="C6" s="74"/>
      <c r="E6" s="75" t="s">
        <v>4</v>
      </c>
      <c r="F6" s="76"/>
      <c r="H6" s="73" t="s">
        <v>5</v>
      </c>
      <c r="I6" s="74"/>
      <c r="K6" s="65" t="s">
        <v>17</v>
      </c>
      <c r="L6" s="66"/>
    </row>
    <row r="7" spans="2:12" ht="21.75" thickBot="1" x14ac:dyDescent="0.3">
      <c r="B7" s="3" t="s">
        <v>1</v>
      </c>
      <c r="C7" s="3" t="s">
        <v>2</v>
      </c>
      <c r="E7" s="3" t="s">
        <v>1</v>
      </c>
      <c r="F7" s="2" t="s">
        <v>70</v>
      </c>
      <c r="H7" s="3" t="s">
        <v>1</v>
      </c>
      <c r="I7" s="3" t="s">
        <v>2</v>
      </c>
      <c r="K7" s="3" t="s">
        <v>18</v>
      </c>
      <c r="L7" s="4" t="s">
        <v>70</v>
      </c>
    </row>
    <row r="8" spans="2:12" ht="23.25" x14ac:dyDescent="0.25">
      <c r="B8" s="1" t="s">
        <v>23</v>
      </c>
      <c r="C8" s="17">
        <f>'[1]شهر 6'!F$41+'[1]شهر 8'!$F$87</f>
        <v>6105</v>
      </c>
      <c r="D8"/>
      <c r="E8" s="6" t="s">
        <v>8</v>
      </c>
      <c r="F8" s="17">
        <v>14000</v>
      </c>
      <c r="H8" s="1" t="s">
        <v>7</v>
      </c>
      <c r="I8" s="16">
        <f>'[2]شهر 1'!$F$82</f>
        <v>21000</v>
      </c>
      <c r="K8" s="1" t="s">
        <v>19</v>
      </c>
      <c r="L8" s="16">
        <v>0</v>
      </c>
    </row>
    <row r="9" spans="2:12" ht="23.25" x14ac:dyDescent="0.25">
      <c r="B9" s="6" t="s">
        <v>25</v>
      </c>
      <c r="C9" s="14">
        <f>'[3]شهر 8'!$F$92</f>
        <v>6117</v>
      </c>
      <c r="D9"/>
      <c r="E9" s="6" t="s">
        <v>9</v>
      </c>
      <c r="F9" s="14">
        <v>1500</v>
      </c>
      <c r="G9"/>
      <c r="H9" s="9" t="s">
        <v>6</v>
      </c>
      <c r="I9" s="13">
        <f>'[4]شهر 1'!$F$106</f>
        <v>12550</v>
      </c>
      <c r="J9"/>
      <c r="K9" s="1" t="s">
        <v>6</v>
      </c>
      <c r="L9" s="13">
        <v>0</v>
      </c>
    </row>
    <row r="10" spans="2:12" ht="24" thickBot="1" x14ac:dyDescent="0.3">
      <c r="B10" s="6" t="s">
        <v>26</v>
      </c>
      <c r="C10" s="17">
        <f>'[5]شهر 9'!$F$40</f>
        <v>4758</v>
      </c>
      <c r="D10"/>
      <c r="E10" s="6" t="s">
        <v>10</v>
      </c>
      <c r="F10" s="17">
        <f>'[6]شهر 1'!D$51</f>
        <v>64100</v>
      </c>
      <c r="G10"/>
      <c r="H10" s="1" t="s">
        <v>16</v>
      </c>
      <c r="I10" s="16">
        <f>'[7]بدايه شهر 8'!$G$232</f>
        <v>1229</v>
      </c>
      <c r="J10"/>
      <c r="K10" s="1" t="s">
        <v>69</v>
      </c>
      <c r="L10" s="55">
        <v>0</v>
      </c>
    </row>
    <row r="11" spans="2:12" ht="24" thickBot="1" x14ac:dyDescent="0.3">
      <c r="B11" s="6" t="s">
        <v>27</v>
      </c>
      <c r="C11" s="14">
        <f>'[8]شهر 8'!F$72</f>
        <v>5450</v>
      </c>
      <c r="D11"/>
      <c r="E11" s="1" t="s">
        <v>11</v>
      </c>
      <c r="F11" s="14">
        <f>'[9]شهر 1'!$D$52</f>
        <v>1000</v>
      </c>
      <c r="G11" s="8"/>
      <c r="H11" s="12" t="s">
        <v>3</v>
      </c>
      <c r="I11" s="15">
        <f>SUBTOTAL(109,I8:I10)</f>
        <v>34779</v>
      </c>
      <c r="J11"/>
      <c r="K11" s="1" t="s">
        <v>71</v>
      </c>
      <c r="L11" s="18">
        <v>0</v>
      </c>
    </row>
    <row r="12" spans="2:12" ht="24" thickBot="1" x14ac:dyDescent="0.3">
      <c r="B12" s="1" t="s">
        <v>28</v>
      </c>
      <c r="C12" s="17">
        <f>'[10]شهر 8'!$F$70</f>
        <v>5160</v>
      </c>
      <c r="D12"/>
      <c r="E12" s="1" t="s">
        <v>12</v>
      </c>
      <c r="F12" s="17">
        <f>[11]Sheet1!$D$51</f>
        <v>30650</v>
      </c>
      <c r="G12" s="8"/>
      <c r="J12"/>
      <c r="K12" s="11" t="s">
        <v>3</v>
      </c>
      <c r="L12" s="15">
        <f>SUBTOTAL(109,الجدول2913[[المبلغ ]])</f>
        <v>0</v>
      </c>
    </row>
    <row r="13" spans="2:12" ht="23.25" x14ac:dyDescent="0.25">
      <c r="B13" s="1" t="s">
        <v>29</v>
      </c>
      <c r="C13" s="14">
        <f>'[12]شهر 8'!$F$72</f>
        <v>1322</v>
      </c>
      <c r="D13"/>
      <c r="E13" s="1" t="s">
        <v>13</v>
      </c>
      <c r="F13" s="14">
        <f>[13]Sheet1!E$51</f>
        <v>37093.399999999994</v>
      </c>
      <c r="G13" s="5"/>
      <c r="J13"/>
    </row>
    <row r="14" spans="2:12" ht="23.25" x14ac:dyDescent="0.25">
      <c r="B14" s="6" t="s">
        <v>30</v>
      </c>
      <c r="C14" s="53">
        <f>'[14]شهر 8'!$F$80</f>
        <v>1170</v>
      </c>
      <c r="D14"/>
      <c r="E14" s="1" t="s">
        <v>14</v>
      </c>
      <c r="F14" s="17">
        <f>[15]Sheet1!$D$79</f>
        <v>42550</v>
      </c>
      <c r="G14" s="5"/>
    </row>
    <row r="15" spans="2:12" ht="23.25" x14ac:dyDescent="0.25">
      <c r="B15" s="1" t="s">
        <v>31</v>
      </c>
      <c r="C15" s="14">
        <f>'[16]شهر 8'!$F$72</f>
        <v>5130</v>
      </c>
      <c r="D15"/>
      <c r="E15" s="6" t="s">
        <v>39</v>
      </c>
      <c r="F15" s="14">
        <f>[17]مصنعيه!$D$95</f>
        <v>18845</v>
      </c>
      <c r="G15" s="5"/>
    </row>
    <row r="16" spans="2:12" ht="23.25" x14ac:dyDescent="0.25">
      <c r="B16" s="1" t="s">
        <v>34</v>
      </c>
      <c r="C16" s="17">
        <f>'[18]شهر 8'!$F$62</f>
        <v>4300</v>
      </c>
      <c r="D16"/>
      <c r="E16" s="6" t="s">
        <v>40</v>
      </c>
      <c r="F16" s="17">
        <f>[17]ورقة1!$D$38</f>
        <v>1000</v>
      </c>
      <c r="G16" s="8"/>
    </row>
    <row r="17" spans="2:7" ht="23.25" x14ac:dyDescent="0.25">
      <c r="B17" s="1" t="s">
        <v>35</v>
      </c>
      <c r="C17" s="14">
        <f>'[19]شهر 8'!$F$60</f>
        <v>2852</v>
      </c>
      <c r="D17"/>
      <c r="E17" s="6" t="s">
        <v>15</v>
      </c>
      <c r="F17" s="14">
        <f>[20]Sheet1!$D$51</f>
        <v>3600</v>
      </c>
      <c r="G17" s="8"/>
    </row>
    <row r="18" spans="2:7" ht="23.25" x14ac:dyDescent="0.25">
      <c r="B18" s="1" t="s">
        <v>36</v>
      </c>
      <c r="C18" s="17">
        <f>'[21]شهر 8'!$F$72</f>
        <v>2420</v>
      </c>
      <c r="D18"/>
      <c r="E18" s="1" t="s">
        <v>20</v>
      </c>
      <c r="F18" s="17">
        <f>'[22]شهر 1'!$D$44</f>
        <v>317991</v>
      </c>
      <c r="G18" s="5"/>
    </row>
    <row r="19" spans="2:7" ht="23.25" x14ac:dyDescent="0.25">
      <c r="B19" s="6" t="s">
        <v>37</v>
      </c>
      <c r="C19" s="14">
        <f>'[23]شهر 9'!$F$40</f>
        <v>1.25</v>
      </c>
      <c r="D19"/>
      <c r="E19" s="6" t="s">
        <v>22</v>
      </c>
      <c r="F19" s="14">
        <f>[24]ورقة2!$D$37</f>
        <v>0</v>
      </c>
      <c r="G19"/>
    </row>
    <row r="20" spans="2:7" ht="23.25" x14ac:dyDescent="0.25">
      <c r="B20" s="1" t="s">
        <v>38</v>
      </c>
      <c r="C20" s="17">
        <f>'[25]شهر 8'!$F$56</f>
        <v>4645</v>
      </c>
      <c r="D20"/>
      <c r="E20" s="1" t="s">
        <v>24</v>
      </c>
      <c r="F20" s="17">
        <f>[26]Sheet1!D$51</f>
        <v>31500</v>
      </c>
      <c r="G20"/>
    </row>
    <row r="21" spans="2:7" ht="23.25" x14ac:dyDescent="0.25">
      <c r="B21" s="1" t="s">
        <v>41</v>
      </c>
      <c r="C21" s="14">
        <f>'[27]شهر 8'!$F$44</f>
        <v>0.58333333333333326</v>
      </c>
      <c r="D21"/>
      <c r="E21" s="6" t="s">
        <v>32</v>
      </c>
      <c r="F21" s="14">
        <f>[28]Sheet1!D$44</f>
        <v>3000</v>
      </c>
      <c r="G21"/>
    </row>
    <row r="22" spans="2:7" ht="23.25" x14ac:dyDescent="0.25">
      <c r="B22" s="1" t="s">
        <v>42</v>
      </c>
      <c r="C22" s="17">
        <f>'[29]شهر 9'!$F$41</f>
        <v>0</v>
      </c>
      <c r="D22"/>
      <c r="E22" s="6" t="s">
        <v>33</v>
      </c>
      <c r="F22" s="57">
        <f>[30]Sheet1!D$51</f>
        <v>-14900</v>
      </c>
      <c r="G22" s="58" t="s">
        <v>73</v>
      </c>
    </row>
    <row r="23" spans="2:7" ht="24" thickBot="1" x14ac:dyDescent="0.3">
      <c r="B23" s="1" t="s">
        <v>43</v>
      </c>
      <c r="C23" s="14">
        <f>'[31]شهر 9'!$F$40</f>
        <v>3235</v>
      </c>
      <c r="D23"/>
      <c r="E23" s="1" t="s">
        <v>72</v>
      </c>
      <c r="F23" s="51">
        <f>[32]Sheet1!$D$51</f>
        <v>32117</v>
      </c>
      <c r="G23" s="7"/>
    </row>
    <row r="24" spans="2:7" ht="24" thickBot="1" x14ac:dyDescent="0.3">
      <c r="B24" s="1" t="s">
        <v>49</v>
      </c>
      <c r="C24" s="17">
        <f>'[33]شهر 9'!$F$40</f>
        <v>1030.0000000000009</v>
      </c>
      <c r="D24"/>
      <c r="E24" s="11" t="s">
        <v>3</v>
      </c>
      <c r="F24" s="15">
        <f>SUBTOTAL(109,الجدول3711[[المبلغ ]])</f>
        <v>584046.4</v>
      </c>
      <c r="G24"/>
    </row>
    <row r="25" spans="2:7" ht="23.25" x14ac:dyDescent="0.25">
      <c r="B25" s="1" t="s">
        <v>44</v>
      </c>
      <c r="C25" s="14">
        <f>'[34]شهر 9'!$F$40</f>
        <v>3400.5</v>
      </c>
      <c r="D25"/>
    </row>
    <row r="26" spans="2:7" ht="23.25" x14ac:dyDescent="0.25">
      <c r="B26" s="1" t="s">
        <v>45</v>
      </c>
      <c r="C26" s="17">
        <f>'[35]شهر 9'!$F$40</f>
        <v>897.49999999999955</v>
      </c>
      <c r="D26"/>
    </row>
    <row r="27" spans="2:7" ht="23.25" x14ac:dyDescent="0.25">
      <c r="B27" s="1" t="s">
        <v>46</v>
      </c>
      <c r="C27" s="14">
        <f>'[36]شهر 9'!$F$40</f>
        <v>1632.5</v>
      </c>
      <c r="D27"/>
    </row>
    <row r="28" spans="2:7" ht="23.25" x14ac:dyDescent="0.25">
      <c r="B28" s="1" t="s">
        <v>47</v>
      </c>
      <c r="C28" s="17">
        <f>'[37]شهر 9'!$F$40</f>
        <v>729.99999999999909</v>
      </c>
      <c r="D28"/>
    </row>
    <row r="29" spans="2:7" ht="24" thickBot="1" x14ac:dyDescent="0.3">
      <c r="B29" s="1" t="s">
        <v>48</v>
      </c>
      <c r="C29" s="14">
        <f>'[38]شهر 9'!$F$40</f>
        <v>1872</v>
      </c>
      <c r="D29"/>
    </row>
    <row r="30" spans="2:7" ht="21.75" thickBot="1" x14ac:dyDescent="0.3">
      <c r="B30" s="10" t="s">
        <v>3</v>
      </c>
      <c r="C30" s="15">
        <f>SUBTOTAL(109,الجدول1610[المبلغ])</f>
        <v>62228.333333333336</v>
      </c>
      <c r="D30"/>
    </row>
    <row r="31" spans="2:7" x14ac:dyDescent="0.25">
      <c r="D31" s="56"/>
    </row>
  </sheetData>
  <mergeCells count="7">
    <mergeCell ref="C2:I2"/>
    <mergeCell ref="C3:I3"/>
    <mergeCell ref="K6:L6"/>
    <mergeCell ref="B4:L5"/>
    <mergeCell ref="B6:C6"/>
    <mergeCell ref="E6:F6"/>
    <mergeCell ref="H6:I6"/>
  </mergeCells>
  <conditionalFormatting sqref="B2:L7 E8:L22 B8:C30 G23:L26 E23:F33 H27:L27 G28:L32 D31:D32">
    <cfRule type="expression" dxfId="1" priority="1">
      <formula>AND(ISNUMBER(B2),B2&lt;0)</formula>
    </cfRule>
  </conditionalFormatting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BD2C-E7D3-48F3-B5CD-BC5B8E5AD9DB}">
  <sheetPr>
    <tabColor rgb="FF1D2330"/>
  </sheetPr>
  <dimension ref="E1:X70"/>
  <sheetViews>
    <sheetView showGridLines="0" rightToLeft="1" topLeftCell="A41" zoomScale="85" zoomScaleNormal="85" workbookViewId="0">
      <selection activeCell="F19" sqref="F19"/>
    </sheetView>
  </sheetViews>
  <sheetFormatPr defaultRowHeight="18.75" x14ac:dyDescent="0.3"/>
  <cols>
    <col min="1" max="4" width="9.140625" style="19"/>
    <col min="5" max="5" width="28.5703125" style="19" customWidth="1"/>
    <col min="6" max="6" width="21.7109375" style="19" customWidth="1"/>
    <col min="7" max="7" width="14.42578125" style="19" customWidth="1"/>
    <col min="8" max="8" width="18.7109375" style="19" bestFit="1" customWidth="1"/>
    <col min="9" max="9" width="24.5703125" style="19" customWidth="1"/>
    <col min="10" max="10" width="21.85546875" style="19" customWidth="1"/>
    <col min="11" max="11" width="12.5703125" style="19" customWidth="1"/>
    <col min="12" max="12" width="14.85546875" style="19" customWidth="1"/>
    <col min="13" max="13" width="9" style="19" customWidth="1"/>
    <col min="14" max="14" width="14.85546875" style="19" customWidth="1"/>
    <col min="15" max="15" width="14.28515625" style="19" bestFit="1" customWidth="1"/>
    <col min="16" max="16" width="9.140625" style="19"/>
    <col min="17" max="17" width="12.140625" style="19" customWidth="1"/>
    <col min="18" max="18" width="12.28515625" style="19" customWidth="1"/>
    <col min="19" max="19" width="9.140625" style="19"/>
    <col min="20" max="22" width="0" style="19" hidden="1" customWidth="1"/>
    <col min="23" max="23" width="9.140625" style="19"/>
    <col min="24" max="24" width="0" style="19" hidden="1" customWidth="1"/>
    <col min="25" max="16384" width="9.140625" style="19"/>
  </cols>
  <sheetData>
    <row r="1" spans="5:24" ht="24" customHeight="1" thickBot="1" x14ac:dyDescent="0.35">
      <c r="E1" s="80" t="s">
        <v>50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1"/>
    </row>
    <row r="2" spans="5:24" ht="24" customHeight="1" thickBot="1" x14ac:dyDescent="0.35">
      <c r="E2" s="83" t="s">
        <v>57</v>
      </c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T2" s="19" t="s">
        <v>18</v>
      </c>
      <c r="U2" s="19" t="s">
        <v>2</v>
      </c>
      <c r="V2" s="19" t="s">
        <v>52</v>
      </c>
      <c r="X2" s="19" t="s">
        <v>54</v>
      </c>
    </row>
    <row r="3" spans="5:24" ht="19.5" thickBot="1" x14ac:dyDescent="0.35">
      <c r="E3" s="50" t="s">
        <v>58</v>
      </c>
      <c r="F3" s="50">
        <f ca="1">TODAY()</f>
        <v>46298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T3" s="19" t="str" cm="1">
        <f t="array" ref="T3:V47">_xlfn.LET(_xlpm.a,_xlfn._xlws.FILTER(الجدول1610[#Data],(INDEX(الجدول1610[#Data],0,1)&lt;&gt;"")*(INDEX(الجدول1610[#Data],0,1)&lt;&gt;"المجموع")),_xlpm.b,_xlfn._xlws.FILTER(الجدول3711[#Data],(INDEX(الجدول3711[#Data],0,1)&lt;&gt;"")*(INDEX(الجدول3711[#Data],0,1)&lt;&gt;"المجموع")),_xlpm.c,_xlfn._xlws.FILTER(الجدول4812[#Data],(INDEX(الجدول4812[#Data],0,1)&lt;&gt;"")*(INDEX(الجدول4812[#Data],0,1)&lt;&gt;"المجموع")),_xlpm.d,_xlfn._xlws.FILTER(الجدول2913[#Data],(INDEX(الجدول2913[#Data],0,1)&lt;&gt;"")*(INDEX(الجدول2913[#Data],0,1)&lt;&gt;"المجموع")),_xlfn.VSTACK(_xlfn.HSTACK(_xlpm.a,IF(INDEX(_xlpm.a,0,1)&lt;&gt;"","صنايعيه","")),_xlfn.HSTACK(_xlpm.b,IF(INDEX(_xlpm.b,0,1)&lt;&gt;"","المقاولين","")),_xlfn.HSTACK(_xlpm.c,IF(INDEX(_xlpm.c,0,1)&lt;&gt;"","النقل","")),_xlfn.HSTACK(_xlpm.d,IF(INDEX(_xlpm.d,0,1)&lt;&gt;"","مرتبات",""))))</f>
        <v>يوسف</v>
      </c>
      <c r="U3" s="20">
        <v>6105</v>
      </c>
      <c r="V3" s="19" t="str">
        <v>صنايعيه</v>
      </c>
      <c r="X3" s="19" t="s">
        <v>0</v>
      </c>
    </row>
    <row r="4" spans="5:24" ht="19.5" thickBot="1" x14ac:dyDescent="0.35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T4" s="19" t="str">
        <v>هاني</v>
      </c>
      <c r="U4" s="20">
        <v>6117</v>
      </c>
      <c r="V4" s="19" t="str">
        <v>صنايعيه</v>
      </c>
      <c r="X4" s="19" t="s">
        <v>4</v>
      </c>
    </row>
    <row r="5" spans="5:24" ht="19.5" thickBot="1" x14ac:dyDescent="0.35">
      <c r="E5" s="21" t="s">
        <v>59</v>
      </c>
      <c r="F5" s="22" t="s">
        <v>54</v>
      </c>
      <c r="G5" s="7"/>
      <c r="H5" s="21" t="s">
        <v>51</v>
      </c>
      <c r="I5" s="23">
        <f>IF($F$5="الكل",$F$17,INDEX($F$13:$F$16,MATCH($F$5,$E$13:$E$16,0)))</f>
        <v>681053.7333333334</v>
      </c>
      <c r="J5" s="7"/>
      <c r="K5" s="21" t="s">
        <v>55</v>
      </c>
      <c r="L5" s="24">
        <f>IF($F$5="الكل",ROWS(_xlfn.ANCHORARRAY($T$3)),COUNTIF(INDEX(_xlfn.ANCHORARRAY($T$3),0,3),$F$5))</f>
        <v>45</v>
      </c>
      <c r="M5" s="7"/>
      <c r="N5" s="25" t="s">
        <v>56</v>
      </c>
      <c r="O5" s="26">
        <f>IFERROR($I$5/$L$5,0)</f>
        <v>15134.52740740741</v>
      </c>
      <c r="P5" s="7"/>
      <c r="Q5" s="21" t="s">
        <v>60</v>
      </c>
      <c r="R5" s="27" t="str">
        <f>INDEX($E$13:$E$16,MATCH(MAX($F$13:$F$16),$F$13:$F$16,0))</f>
        <v>المقاولين</v>
      </c>
      <c r="T5" s="19" t="str">
        <v>عفيفي</v>
      </c>
      <c r="U5" s="20">
        <v>4758</v>
      </c>
      <c r="V5" s="19" t="str">
        <v>صنايعيه</v>
      </c>
      <c r="X5" s="19" t="s">
        <v>5</v>
      </c>
    </row>
    <row r="6" spans="5:24" x14ac:dyDescent="0.3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T6" s="19" t="str">
        <v>جواده</v>
      </c>
      <c r="U6" s="20">
        <v>5450</v>
      </c>
      <c r="V6" s="19" t="str">
        <v>صنايعيه</v>
      </c>
      <c r="X6" s="19" t="s">
        <v>17</v>
      </c>
    </row>
    <row r="7" spans="5:24" x14ac:dyDescent="0.3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T7" s="19" t="str">
        <v>محمد مصبح</v>
      </c>
      <c r="U7" s="20">
        <v>5160</v>
      </c>
      <c r="V7" s="19" t="str">
        <v>صنايعيه</v>
      </c>
    </row>
    <row r="8" spans="5:24" x14ac:dyDescent="0.3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T8" s="19" t="str">
        <v>محمد صبحي</v>
      </c>
      <c r="U8" s="20">
        <v>1322</v>
      </c>
      <c r="V8" s="19" t="str">
        <v>صنايعيه</v>
      </c>
    </row>
    <row r="9" spans="5:24" x14ac:dyDescent="0.3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T9" s="19" t="str">
        <v>علاء محمد</v>
      </c>
      <c r="U9" s="28">
        <v>1170</v>
      </c>
      <c r="V9" s="19" t="str">
        <v>صنايعيه</v>
      </c>
    </row>
    <row r="10" spans="5:24" ht="19.5" thickBot="1" x14ac:dyDescent="0.3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T10" s="19" t="str">
        <v>فريد</v>
      </c>
      <c r="U10" s="20">
        <v>5130</v>
      </c>
      <c r="V10" s="19" t="str">
        <v>صنايعيه</v>
      </c>
    </row>
    <row r="11" spans="5:24" ht="19.5" thickBot="1" x14ac:dyDescent="0.35">
      <c r="E11" s="80" t="s">
        <v>61</v>
      </c>
      <c r="F11" s="82"/>
      <c r="G11" s="81"/>
      <c r="H11" s="7"/>
      <c r="I11" s="80" t="s">
        <v>62</v>
      </c>
      <c r="J11" s="81"/>
      <c r="K11" s="29"/>
      <c r="L11"/>
      <c r="M11"/>
      <c r="N11"/>
      <c r="O11" s="7"/>
      <c r="P11" s="7"/>
      <c r="Q11" s="7"/>
      <c r="R11" s="7"/>
      <c r="T11" s="19" t="str">
        <v>احمد عرفه</v>
      </c>
      <c r="U11" s="20">
        <v>4300</v>
      </c>
      <c r="V11" s="19" t="str">
        <v>صنايعيه</v>
      </c>
    </row>
    <row r="12" spans="5:24" ht="19.5" thickBot="1" x14ac:dyDescent="0.35">
      <c r="E12" s="49" t="s">
        <v>52</v>
      </c>
      <c r="F12" s="49" t="s">
        <v>63</v>
      </c>
      <c r="G12" s="49" t="s">
        <v>64</v>
      </c>
      <c r="H12" s="7"/>
      <c r="I12" s="49" t="s">
        <v>66</v>
      </c>
      <c r="J12" s="49" t="s">
        <v>63</v>
      </c>
      <c r="K12" s="7"/>
      <c r="L12"/>
      <c r="M12"/>
      <c r="N12"/>
      <c r="O12" s="7"/>
      <c r="P12" s="7"/>
      <c r="Q12" s="7"/>
      <c r="R12" s="7"/>
      <c r="T12" s="19" t="str">
        <v>احمد مصطفي</v>
      </c>
      <c r="U12" s="20">
        <v>2852</v>
      </c>
      <c r="V12" s="19" t="str">
        <v>صنايعيه</v>
      </c>
    </row>
    <row r="13" spans="5:24" x14ac:dyDescent="0.3">
      <c r="E13" s="32" t="s">
        <v>0</v>
      </c>
      <c r="F13" s="33" cm="1">
        <f t="array" ref="F13">SUM(_xlfn._xlws.FILTER(INDEX(الجدول1610[#Data],0,2),(INDEX(الجدول1610[#Data],0,1)&lt;&gt;"")*(INDEX(الجدول1610[#Data],0,1)&lt;&gt;"المجموع"),0))</f>
        <v>62228.333333333336</v>
      </c>
      <c r="G13" s="34">
        <f>IFERROR($F13/$F$17,0)</f>
        <v>9.1370666200983067E-2</v>
      </c>
      <c r="H13" s="7"/>
      <c r="I13" s="32" t="str" cm="1">
        <f t="array" ref="I13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I$13:I13),1),"")</f>
        <v>أبناء أسيوط</v>
      </c>
      <c r="J13" s="33" cm="1">
        <f t="array" ref="J13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J$13:J13),2),"")</f>
        <v>317991</v>
      </c>
      <c r="K13" s="7"/>
      <c r="L13"/>
      <c r="M13"/>
      <c r="N13"/>
      <c r="O13" s="7"/>
      <c r="P13" s="7"/>
      <c r="Q13" s="7"/>
      <c r="R13" s="7"/>
      <c r="T13" s="19" t="str">
        <v>محمد ثروت</v>
      </c>
      <c r="U13" s="20">
        <v>2420</v>
      </c>
      <c r="V13" s="19" t="str">
        <v>صنايعيه</v>
      </c>
    </row>
    <row r="14" spans="5:24" x14ac:dyDescent="0.3">
      <c r="E14" s="32" t="s">
        <v>4</v>
      </c>
      <c r="F14" s="33" cm="1">
        <f t="array" ref="F14">SUM(_xlfn._xlws.FILTER(INDEX(الجدول3711[#Data],0,2),(INDEX(الجدول3711[#Data],0,1)&lt;&gt;"")*(INDEX(الجدول3711[#Data],0,1)&lt;&gt;"المجموع"),0))</f>
        <v>584046.4</v>
      </c>
      <c r="G14" s="34">
        <f>IFERROR($F14/$F$17,0)</f>
        <v>0.85756287854330826</v>
      </c>
      <c r="H14" s="7"/>
      <c r="I14" s="30" t="str" cm="1">
        <f t="array" ref="I14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I$13:I14),1),"")</f>
        <v>احمد النقاش</v>
      </c>
      <c r="J14" s="31" cm="1">
        <f t="array" ref="J14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J$13:J14),2),"")</f>
        <v>64100</v>
      </c>
      <c r="K14" s="7"/>
      <c r="L14" s="7"/>
      <c r="M14" s="7"/>
      <c r="N14" s="7"/>
      <c r="O14" s="7"/>
      <c r="P14" s="7"/>
      <c r="Q14" s="7"/>
      <c r="R14" s="7"/>
      <c r="T14" s="19" t="str">
        <v>احمد رمضان</v>
      </c>
      <c r="U14" s="20">
        <v>1.25</v>
      </c>
      <c r="V14" s="19" t="str">
        <v>صنايعيه</v>
      </c>
    </row>
    <row r="15" spans="5:24" x14ac:dyDescent="0.3">
      <c r="E15" s="32" t="s">
        <v>5</v>
      </c>
      <c r="F15" s="33" cm="1">
        <f t="array" ref="F15">SUM(_xlfn._xlws.FILTER(INDEX(الجدول4812[#Data],0,2),(INDEX(الجدول4812[#Data],0,1)&lt;&gt;"")*(INDEX(الجدول4812[#Data],0,1)&lt;&gt;"المجموع"),0))</f>
        <v>34779</v>
      </c>
      <c r="G15" s="34">
        <f>IFERROR($F15/$F$17,0)</f>
        <v>5.1066455255708652E-2</v>
      </c>
      <c r="H15" s="7"/>
      <c r="I15" s="30" t="str" cm="1">
        <f t="array" ref="I15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I$13:I15),1),"")</f>
        <v>أبو احمد</v>
      </c>
      <c r="J15" s="31" cm="1">
        <f t="array" ref="J15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J$13:J15),2),"")</f>
        <v>42550</v>
      </c>
      <c r="K15" s="7"/>
      <c r="L15" s="7"/>
      <c r="M15" s="7"/>
      <c r="N15" s="7"/>
      <c r="O15" s="7"/>
      <c r="P15" s="7"/>
      <c r="Q15" s="7"/>
      <c r="R15" s="7"/>
      <c r="T15" s="19" t="str">
        <v>رضا زكي</v>
      </c>
      <c r="U15" s="20">
        <v>4645</v>
      </c>
      <c r="V15" s="19" t="str">
        <v>صنايعيه</v>
      </c>
    </row>
    <row r="16" spans="5:24" ht="19.5" thickBot="1" x14ac:dyDescent="0.35">
      <c r="E16" s="32" t="s">
        <v>17</v>
      </c>
      <c r="F16" s="33" cm="1">
        <f t="array" ref="F16">SUM(_xlfn._xlws.FILTER(INDEX(الجدول2913[#Data],0,2),(INDEX(الجدول2913[#Data],0,1)&lt;&gt;"")*(INDEX(الجدول2913[#Data],0,1)&lt;&gt;"المجموع"),0))</f>
        <v>0</v>
      </c>
      <c r="G16" s="34">
        <f>IFERROR($F16/$F$17,0)</f>
        <v>0</v>
      </c>
      <c r="H16" s="7"/>
      <c r="I16" s="30" t="str" cm="1">
        <f t="array" ref="I16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I$13:I16),1),"")</f>
        <v>محمد رافت</v>
      </c>
      <c r="J16" s="31" cm="1">
        <f t="array" ref="J16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J$13:J16),2),"")</f>
        <v>37093.399999999994</v>
      </c>
      <c r="K16" s="7"/>
      <c r="L16" s="7"/>
      <c r="M16" s="7"/>
      <c r="N16" s="7"/>
      <c r="O16" s="7"/>
      <c r="P16" s="7"/>
      <c r="Q16" s="7"/>
      <c r="R16" s="7"/>
      <c r="T16" s="19" t="str">
        <v>إبراهيم السيد</v>
      </c>
      <c r="U16" s="20">
        <v>0.58333333333333326</v>
      </c>
      <c r="V16" s="19" t="str">
        <v>صنايعيه</v>
      </c>
    </row>
    <row r="17" spans="5:22" ht="19.5" thickBot="1" x14ac:dyDescent="0.35">
      <c r="E17" s="35" t="s">
        <v>53</v>
      </c>
      <c r="F17" s="36">
        <f>SUM($F$13:$F$16)</f>
        <v>681053.7333333334</v>
      </c>
      <c r="G17" s="37">
        <f>SUM($G$13:$G$16)</f>
        <v>1</v>
      </c>
      <c r="H17" s="7"/>
      <c r="I17" s="30" t="str" cm="1">
        <f t="array" ref="I17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I$13:I17),1),"")</f>
        <v>عيسي</v>
      </c>
      <c r="J17" s="31" cm="1">
        <f t="array" ref="J17">IFERROR(INDEX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ROWS($J$13:J17),2),"")</f>
        <v>32117</v>
      </c>
      <c r="K17" s="7"/>
      <c r="L17" s="7"/>
      <c r="M17" s="7"/>
      <c r="N17" s="7"/>
      <c r="O17" s="7"/>
      <c r="P17" s="7"/>
      <c r="Q17" s="7"/>
      <c r="R17" s="7"/>
      <c r="T17" s="19" t="str">
        <v>عبد العزيزصبحي</v>
      </c>
      <c r="U17" s="20">
        <v>0</v>
      </c>
      <c r="V17" s="19" t="str">
        <v>صنايعيه</v>
      </c>
    </row>
    <row r="18" spans="5:22" x14ac:dyDescent="0.3">
      <c r="E18" s="38" t="s">
        <v>65</v>
      </c>
      <c r="F18" s="39">
        <f>$F$17-Sheet1!$B$4</f>
        <v>0</v>
      </c>
      <c r="G18" s="40" t="str">
        <f>IF(ABS($F$18)&lt;0.01,"PASS","CHECK")</f>
        <v>PASS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T18" s="19" t="str">
        <v>احمد المليجي</v>
      </c>
      <c r="U18" s="20">
        <v>3235</v>
      </c>
      <c r="V18" s="19" t="str">
        <v>صنايعيه</v>
      </c>
    </row>
    <row r="19" spans="5:22" ht="19.5" thickBot="1" x14ac:dyDescent="0.3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T19" s="19" t="str">
        <v>زكريا احمد</v>
      </c>
      <c r="U19" s="20">
        <v>1030.0000000000009</v>
      </c>
      <c r="V19" s="19" t="str">
        <v>صنايعيه</v>
      </c>
    </row>
    <row r="20" spans="5:22" ht="19.5" thickBot="1" x14ac:dyDescent="0.35">
      <c r="E20" s="86" t="s">
        <v>68</v>
      </c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8"/>
      <c r="T20" s="19" t="str">
        <v>مصطفي مسعد</v>
      </c>
      <c r="U20" s="20">
        <v>3400.5</v>
      </c>
      <c r="V20" s="19" t="str">
        <v>صنايعيه</v>
      </c>
    </row>
    <row r="21" spans="5:22" ht="19.5" thickBot="1" x14ac:dyDescent="0.35">
      <c r="T21" s="19" t="str">
        <v>عبده محمد</v>
      </c>
      <c r="U21" s="20">
        <v>897.49999999999955</v>
      </c>
      <c r="V21" s="19" t="str">
        <v>صنايعيه</v>
      </c>
    </row>
    <row r="22" spans="5:22" ht="19.5" thickBot="1" x14ac:dyDescent="0.35">
      <c r="E22" s="77" t="s">
        <v>67</v>
      </c>
      <c r="F22" s="78"/>
      <c r="G22" s="79"/>
      <c r="T22" s="19" t="str">
        <v>عمر فوزي</v>
      </c>
      <c r="U22" s="20">
        <v>1632.5</v>
      </c>
      <c r="V22" s="19" t="str">
        <v>صنايعيه</v>
      </c>
    </row>
    <row r="23" spans="5:22" ht="19.5" thickBot="1" x14ac:dyDescent="0.35">
      <c r="E23" s="48" t="s">
        <v>18</v>
      </c>
      <c r="F23" s="48" t="s">
        <v>63</v>
      </c>
      <c r="G23" s="47" t="s">
        <v>52</v>
      </c>
      <c r="T23" s="19" t="str">
        <v>عبد الفتاح</v>
      </c>
      <c r="U23" s="20">
        <v>729.99999999999909</v>
      </c>
      <c r="V23" s="19" t="str">
        <v>صنايعيه</v>
      </c>
    </row>
    <row r="24" spans="5:22" x14ac:dyDescent="0.3">
      <c r="E24" s="32" t="str" cm="1">
        <f t="array" ref="E24:G68">IFERROR(_xlfn.SORTBY(_xlfn._xlws.FILTER(_xlfn.ANCHORARRAY($T$3),IF($F$5="الكل",INDEX(_xlfn.ANCHORARRAY($T$3),0,1)&lt;&gt;"",INDEX(_xlfn.ANCHORARRAY($T$3),0,3)=$F$5),""),_xlfn._xlws.FILTER(INDEX(_xlfn.ANCHORARRAY($T$3),0,2),IF($F$5="الكل",INDEX(_xlfn.ANCHORARRAY($T$3),0,1)&lt;&gt;"",INDEX(_xlfn.ANCHORARRAY($T$3),0,3)=$F$5),""),-1),"")</f>
        <v>أبناء أسيوط</v>
      </c>
      <c r="F24" s="33">
        <v>317991</v>
      </c>
      <c r="G24" s="46" t="str">
        <v>المقاولين</v>
      </c>
      <c r="T24" s="19" t="str">
        <v>يوسف عصام</v>
      </c>
      <c r="U24" s="20">
        <v>1872</v>
      </c>
      <c r="V24" s="19" t="str">
        <v>صنايعيه</v>
      </c>
    </row>
    <row r="25" spans="5:22" x14ac:dyDescent="0.3">
      <c r="E25" s="32" t="str">
        <v>احمد النقاش</v>
      </c>
      <c r="F25" s="33">
        <v>64100</v>
      </c>
      <c r="G25" s="41" t="str">
        <v>المقاولين</v>
      </c>
      <c r="T25" s="19" t="str">
        <v>الايجار</v>
      </c>
      <c r="U25" s="28">
        <v>14000</v>
      </c>
      <c r="V25" s="19" t="str">
        <v>المقاولين</v>
      </c>
    </row>
    <row r="26" spans="5:22" x14ac:dyDescent="0.3">
      <c r="E26" s="32" t="str">
        <v>أبو احمد</v>
      </c>
      <c r="F26" s="33">
        <v>42550</v>
      </c>
      <c r="G26" s="41" t="str">
        <v>المقاولين</v>
      </c>
      <c r="T26" s="19" t="str">
        <v>الغفره</v>
      </c>
      <c r="U26" s="28">
        <v>1500</v>
      </c>
      <c r="V26" s="19" t="str">
        <v>المقاولين</v>
      </c>
    </row>
    <row r="27" spans="5:22" x14ac:dyDescent="0.3">
      <c r="E27" s="32" t="str">
        <v>محمد رافت</v>
      </c>
      <c r="F27" s="33">
        <v>37093.399999999994</v>
      </c>
      <c r="G27" s="41" t="str">
        <v>المقاولين</v>
      </c>
      <c r="T27" s="19" t="str">
        <v>احمد النقاش</v>
      </c>
      <c r="U27" s="20">
        <v>64100</v>
      </c>
      <c r="V27" s="19" t="str">
        <v>المقاولين</v>
      </c>
    </row>
    <row r="28" spans="5:22" x14ac:dyDescent="0.3">
      <c r="E28" s="32" t="str">
        <v>عيسي</v>
      </c>
      <c r="F28" s="33">
        <v>32117</v>
      </c>
      <c r="G28" s="41" t="str">
        <v>المقاولين</v>
      </c>
      <c r="T28" s="19" t="str">
        <v>الشيخ عمر</v>
      </c>
      <c r="U28" s="20">
        <v>1000</v>
      </c>
      <c r="V28" s="19" t="str">
        <v>المقاولين</v>
      </c>
    </row>
    <row r="29" spans="5:22" x14ac:dyDescent="0.3">
      <c r="E29" s="32" t="str">
        <v>رضا الحداد</v>
      </c>
      <c r="F29" s="33">
        <v>31500</v>
      </c>
      <c r="G29" s="41" t="str">
        <v>المقاولين</v>
      </c>
      <c r="T29" s="19" t="str">
        <v>محمد حسين</v>
      </c>
      <c r="U29" s="20">
        <v>30650</v>
      </c>
      <c r="V29" s="19" t="str">
        <v>المقاولين</v>
      </c>
    </row>
    <row r="30" spans="5:22" x14ac:dyDescent="0.3">
      <c r="E30" s="32" t="str">
        <v>محمد حسين</v>
      </c>
      <c r="F30" s="33">
        <v>30650</v>
      </c>
      <c r="G30" s="41" t="str">
        <v>المقاولين</v>
      </c>
      <c r="T30" s="19" t="str">
        <v>محمد رافت</v>
      </c>
      <c r="U30" s="20">
        <v>37093.399999999994</v>
      </c>
      <c r="V30" s="19" t="str">
        <v>المقاولين</v>
      </c>
    </row>
    <row r="31" spans="5:22" x14ac:dyDescent="0.3">
      <c r="E31" s="32" t="str">
        <v xml:space="preserve">رمضان </v>
      </c>
      <c r="F31" s="33">
        <v>21000</v>
      </c>
      <c r="G31" s="41" t="str">
        <v>النقل</v>
      </c>
      <c r="T31" s="19" t="str">
        <v>أبو احمد</v>
      </c>
      <c r="U31" s="20">
        <v>42550</v>
      </c>
      <c r="V31" s="19" t="str">
        <v>المقاولين</v>
      </c>
    </row>
    <row r="32" spans="5:22" x14ac:dyDescent="0.3">
      <c r="E32" s="32" t="str">
        <v>كريم الكهربائي قديم</v>
      </c>
      <c r="F32" s="33">
        <v>18845</v>
      </c>
      <c r="G32" s="41" t="str">
        <v>المقاولين</v>
      </c>
      <c r="T32" s="19" t="str">
        <v>كريم الكهربائي قديم</v>
      </c>
      <c r="U32" s="20">
        <v>18845</v>
      </c>
      <c r="V32" s="19" t="str">
        <v>المقاولين</v>
      </c>
    </row>
    <row r="33" spans="5:22" x14ac:dyDescent="0.3">
      <c r="E33" s="32" t="str">
        <v>الايجار</v>
      </c>
      <c r="F33" s="33">
        <v>14000</v>
      </c>
      <c r="G33" s="41" t="str">
        <v>المقاولين</v>
      </c>
      <c r="T33" s="19" t="str">
        <v xml:space="preserve">كريم الكهربائي </v>
      </c>
      <c r="U33" s="20">
        <v>1000</v>
      </c>
      <c r="V33" s="19" t="str">
        <v>المقاولين</v>
      </c>
    </row>
    <row r="34" spans="5:22" x14ac:dyDescent="0.3">
      <c r="E34" s="32" t="str">
        <v>محمد السيد</v>
      </c>
      <c r="F34" s="33">
        <v>12550</v>
      </c>
      <c r="G34" s="41" t="str">
        <v>النقل</v>
      </c>
      <c r="T34" s="19" t="str">
        <v>كوري</v>
      </c>
      <c r="U34" s="20">
        <v>3600</v>
      </c>
      <c r="V34" s="19" t="str">
        <v>المقاولين</v>
      </c>
    </row>
    <row r="35" spans="5:22" x14ac:dyDescent="0.3">
      <c r="E35" s="32" t="str">
        <v>هاني</v>
      </c>
      <c r="F35" s="33">
        <v>6117</v>
      </c>
      <c r="G35" s="41" t="str">
        <v>صنايعيه</v>
      </c>
      <c r="T35" s="19" t="str">
        <v>أبناء أسيوط</v>
      </c>
      <c r="U35" s="20">
        <v>317991</v>
      </c>
      <c r="V35" s="19" t="str">
        <v>المقاولين</v>
      </c>
    </row>
    <row r="36" spans="5:22" x14ac:dyDescent="0.3">
      <c r="E36" s="32" t="str">
        <v>يوسف</v>
      </c>
      <c r="F36" s="33">
        <v>6105</v>
      </c>
      <c r="G36" s="41" t="str">
        <v>صنايعيه</v>
      </c>
      <c r="T36" s="19" t="str">
        <v>حسن الموان</v>
      </c>
      <c r="U36" s="20">
        <v>0</v>
      </c>
      <c r="V36" s="19" t="str">
        <v>المقاولين</v>
      </c>
    </row>
    <row r="37" spans="5:22" x14ac:dyDescent="0.3">
      <c r="E37" s="32" t="str">
        <v>جواده</v>
      </c>
      <c r="F37" s="33">
        <v>5450</v>
      </c>
      <c r="G37" s="41" t="str">
        <v>صنايعيه</v>
      </c>
      <c r="T37" s="19" t="str">
        <v>رضا الحداد</v>
      </c>
      <c r="U37" s="20">
        <v>31500</v>
      </c>
      <c r="V37" s="19" t="str">
        <v>المقاولين</v>
      </c>
    </row>
    <row r="38" spans="5:22" x14ac:dyDescent="0.3">
      <c r="E38" s="32" t="str">
        <v>محمد مصبح</v>
      </c>
      <c r="F38" s="33">
        <v>5160</v>
      </c>
      <c r="G38" s="41" t="str">
        <v>صنايعيه</v>
      </c>
      <c r="T38" s="19" t="str">
        <v>مصطفي محل الكهرباء</v>
      </c>
      <c r="U38" s="20">
        <v>3000</v>
      </c>
      <c r="V38" s="19" t="str">
        <v>المقاولين</v>
      </c>
    </row>
    <row r="39" spans="5:22" x14ac:dyDescent="0.3">
      <c r="E39" s="32" t="str">
        <v>فريد</v>
      </c>
      <c r="F39" s="33">
        <v>5130</v>
      </c>
      <c r="G39" s="41" t="str">
        <v>صنايعيه</v>
      </c>
      <c r="T39" s="19" t="str">
        <v>كمال الحافي</v>
      </c>
      <c r="U39" s="20">
        <v>-14900</v>
      </c>
      <c r="V39" s="19" t="str">
        <v>المقاولين</v>
      </c>
    </row>
    <row r="40" spans="5:22" x14ac:dyDescent="0.3">
      <c r="E40" s="32" t="str">
        <v>عفيفي</v>
      </c>
      <c r="F40" s="33">
        <v>4758</v>
      </c>
      <c r="G40" s="41" t="str">
        <v>صنايعيه</v>
      </c>
      <c r="T40" s="19" t="str">
        <v>عيسي</v>
      </c>
      <c r="U40" s="20">
        <v>32117</v>
      </c>
      <c r="V40" s="19" t="str">
        <v>المقاولين</v>
      </c>
    </row>
    <row r="41" spans="5:22" x14ac:dyDescent="0.3">
      <c r="E41" s="32" t="str">
        <v>رضا زكي</v>
      </c>
      <c r="F41" s="33">
        <v>4645</v>
      </c>
      <c r="G41" s="41" t="str">
        <v>صنايعيه</v>
      </c>
      <c r="T41" s="19" t="str">
        <v xml:space="preserve">رمضان </v>
      </c>
      <c r="U41" s="20">
        <v>21000</v>
      </c>
      <c r="V41" s="19" t="str">
        <v>النقل</v>
      </c>
    </row>
    <row r="42" spans="5:22" x14ac:dyDescent="0.3">
      <c r="E42" s="32" t="str">
        <v>احمد عرفه</v>
      </c>
      <c r="F42" s="33">
        <v>4300</v>
      </c>
      <c r="G42" s="41" t="str">
        <v>صنايعيه</v>
      </c>
      <c r="T42" s="19" t="str">
        <v>محمد السيد</v>
      </c>
      <c r="U42" s="20">
        <v>12550</v>
      </c>
      <c r="V42" s="19" t="str">
        <v>النقل</v>
      </c>
    </row>
    <row r="43" spans="5:22" x14ac:dyDescent="0.3">
      <c r="E43" s="32" t="str">
        <v>كوري</v>
      </c>
      <c r="F43" s="33">
        <v>3600</v>
      </c>
      <c r="G43" s="41" t="str">
        <v>المقاولين</v>
      </c>
      <c r="T43" s="19" t="str">
        <v>سيد الأبيض</v>
      </c>
      <c r="U43" s="20">
        <v>1229</v>
      </c>
      <c r="V43" s="19" t="str">
        <v>النقل</v>
      </c>
    </row>
    <row r="44" spans="5:22" x14ac:dyDescent="0.3">
      <c r="E44" s="32" t="str">
        <v>مصطفي مسعد</v>
      </c>
      <c r="F44" s="33">
        <v>3400.5</v>
      </c>
      <c r="G44" s="41" t="str">
        <v>صنايعيه</v>
      </c>
      <c r="T44" s="19" t="str">
        <v>محمد محمود</v>
      </c>
      <c r="U44" s="20">
        <v>0</v>
      </c>
      <c r="V44" s="19" t="str">
        <v>مرتبات</v>
      </c>
    </row>
    <row r="45" spans="5:22" x14ac:dyDescent="0.3">
      <c r="E45" s="32" t="str">
        <v>احمد المليجي</v>
      </c>
      <c r="F45" s="33">
        <v>3235</v>
      </c>
      <c r="G45" s="41" t="str">
        <v>صنايعيه</v>
      </c>
      <c r="T45" s="19" t="str">
        <v>محمد السيد</v>
      </c>
      <c r="U45" s="20">
        <v>0</v>
      </c>
      <c r="V45" s="19" t="str">
        <v>مرتبات</v>
      </c>
    </row>
    <row r="46" spans="5:22" x14ac:dyDescent="0.3">
      <c r="E46" s="32" t="str">
        <v>مصطفي محل الكهرباء</v>
      </c>
      <c r="F46" s="33">
        <v>3000</v>
      </c>
      <c r="G46" s="41" t="str">
        <v>المقاولين</v>
      </c>
      <c r="T46" s="19" t="str">
        <v>حماده الكهربائي</v>
      </c>
      <c r="U46" s="20">
        <v>0</v>
      </c>
      <c r="V46" s="19" t="str">
        <v>مرتبات</v>
      </c>
    </row>
    <row r="47" spans="5:22" x14ac:dyDescent="0.3">
      <c r="E47" s="32" t="str">
        <v>احمد مصطفي</v>
      </c>
      <c r="F47" s="33">
        <v>2852</v>
      </c>
      <c r="G47" s="41" t="str">
        <v>صنايعيه</v>
      </c>
      <c r="T47" s="19" t="str">
        <v>محمد النقاش</v>
      </c>
      <c r="U47" s="42">
        <v>0</v>
      </c>
      <c r="V47" s="19" t="str">
        <v>مرتبات</v>
      </c>
    </row>
    <row r="48" spans="5:22" x14ac:dyDescent="0.3">
      <c r="E48" s="32" t="str">
        <v>محمد ثروت</v>
      </c>
      <c r="F48" s="33">
        <v>2420</v>
      </c>
      <c r="G48" s="41" t="str">
        <v>صنايعيه</v>
      </c>
      <c r="U48" s="42"/>
    </row>
    <row r="49" spans="5:7" x14ac:dyDescent="0.3">
      <c r="E49" s="32" t="str">
        <v>يوسف عصام</v>
      </c>
      <c r="F49" s="33">
        <v>1872</v>
      </c>
      <c r="G49" s="41" t="str">
        <v>صنايعيه</v>
      </c>
    </row>
    <row r="50" spans="5:7" x14ac:dyDescent="0.3">
      <c r="E50" s="32" t="str">
        <v>عمر فوزي</v>
      </c>
      <c r="F50" s="33">
        <v>1632.5</v>
      </c>
      <c r="G50" s="41" t="str">
        <v>صنايعيه</v>
      </c>
    </row>
    <row r="51" spans="5:7" x14ac:dyDescent="0.3">
      <c r="E51" s="32" t="str">
        <v>الغفره</v>
      </c>
      <c r="F51" s="33">
        <v>1500</v>
      </c>
      <c r="G51" s="41" t="str">
        <v>المقاولين</v>
      </c>
    </row>
    <row r="52" spans="5:7" x14ac:dyDescent="0.3">
      <c r="E52" s="32" t="str">
        <v>محمد صبحي</v>
      </c>
      <c r="F52" s="33">
        <v>1322</v>
      </c>
      <c r="G52" s="41" t="str">
        <v>صنايعيه</v>
      </c>
    </row>
    <row r="53" spans="5:7" x14ac:dyDescent="0.3">
      <c r="E53" s="32" t="str">
        <v>سيد الأبيض</v>
      </c>
      <c r="F53" s="33">
        <v>1229</v>
      </c>
      <c r="G53" s="41" t="str">
        <v>النقل</v>
      </c>
    </row>
    <row r="54" spans="5:7" x14ac:dyDescent="0.3">
      <c r="E54" s="32" t="str">
        <v>علاء محمد</v>
      </c>
      <c r="F54" s="33">
        <v>1170</v>
      </c>
      <c r="G54" s="41" t="str">
        <v>صنايعيه</v>
      </c>
    </row>
    <row r="55" spans="5:7" x14ac:dyDescent="0.3">
      <c r="E55" s="32" t="str">
        <v>زكريا احمد</v>
      </c>
      <c r="F55" s="33">
        <v>1030.0000000000009</v>
      </c>
      <c r="G55" s="41" t="str">
        <v>صنايعيه</v>
      </c>
    </row>
    <row r="56" spans="5:7" x14ac:dyDescent="0.3">
      <c r="E56" s="32" t="str">
        <v>الشيخ عمر</v>
      </c>
      <c r="F56" s="33">
        <v>1000</v>
      </c>
      <c r="G56" s="41" t="str">
        <v>المقاولين</v>
      </c>
    </row>
    <row r="57" spans="5:7" x14ac:dyDescent="0.3">
      <c r="E57" s="32" t="str">
        <v xml:space="preserve">كريم الكهربائي </v>
      </c>
      <c r="F57" s="33">
        <v>1000</v>
      </c>
      <c r="G57" s="41" t="str">
        <v>المقاولين</v>
      </c>
    </row>
    <row r="58" spans="5:7" x14ac:dyDescent="0.3">
      <c r="E58" s="32" t="str">
        <v>عبده محمد</v>
      </c>
      <c r="F58" s="33">
        <v>897.49999999999955</v>
      </c>
      <c r="G58" s="41" t="str">
        <v>صنايعيه</v>
      </c>
    </row>
    <row r="59" spans="5:7" x14ac:dyDescent="0.3">
      <c r="E59" s="32" t="str">
        <v>عبد الفتاح</v>
      </c>
      <c r="F59" s="33">
        <v>729.99999999999909</v>
      </c>
      <c r="G59" s="41" t="str">
        <v>صنايعيه</v>
      </c>
    </row>
    <row r="60" spans="5:7" x14ac:dyDescent="0.3">
      <c r="E60" s="32" t="str">
        <v>احمد رمضان</v>
      </c>
      <c r="F60" s="33">
        <v>1.25</v>
      </c>
      <c r="G60" s="41" t="str">
        <v>صنايعيه</v>
      </c>
    </row>
    <row r="61" spans="5:7" x14ac:dyDescent="0.3">
      <c r="E61" s="32" t="str">
        <v>إبراهيم السيد</v>
      </c>
      <c r="F61" s="33">
        <v>0.58333333333333326</v>
      </c>
      <c r="G61" s="41" t="str">
        <v>صنايعيه</v>
      </c>
    </row>
    <row r="62" spans="5:7" x14ac:dyDescent="0.3">
      <c r="E62" s="32" t="str">
        <v>عبد العزيزصبحي</v>
      </c>
      <c r="F62" s="33">
        <v>0</v>
      </c>
      <c r="G62" s="41" t="str">
        <v>صنايعيه</v>
      </c>
    </row>
    <row r="63" spans="5:7" x14ac:dyDescent="0.3">
      <c r="E63" s="32" t="str">
        <v>حسن الموان</v>
      </c>
      <c r="F63" s="33">
        <v>0</v>
      </c>
      <c r="G63" s="41" t="str">
        <v>المقاولين</v>
      </c>
    </row>
    <row r="64" spans="5:7" x14ac:dyDescent="0.3">
      <c r="E64" s="32" t="str">
        <v>محمد محمود</v>
      </c>
      <c r="F64" s="33">
        <v>0</v>
      </c>
      <c r="G64" s="41" t="str">
        <v>مرتبات</v>
      </c>
    </row>
    <row r="65" spans="5:7" x14ac:dyDescent="0.3">
      <c r="E65" s="32" t="str">
        <v>محمد السيد</v>
      </c>
      <c r="F65" s="33">
        <v>0</v>
      </c>
      <c r="G65" s="41" t="str">
        <v>مرتبات</v>
      </c>
    </row>
    <row r="66" spans="5:7" x14ac:dyDescent="0.3">
      <c r="E66" s="32" t="str">
        <v>حماده الكهربائي</v>
      </c>
      <c r="F66" s="33">
        <v>0</v>
      </c>
      <c r="G66" s="41" t="str">
        <v>مرتبات</v>
      </c>
    </row>
    <row r="67" spans="5:7" x14ac:dyDescent="0.3">
      <c r="E67" s="38" t="str">
        <v>محمد النقاش</v>
      </c>
      <c r="F67" s="43">
        <v>0</v>
      </c>
      <c r="G67" s="44" t="str">
        <v>مرتبات</v>
      </c>
    </row>
    <row r="68" spans="5:7" x14ac:dyDescent="0.3">
      <c r="E68" s="19" t="str">
        <v>كمال الحافي</v>
      </c>
      <c r="F68" s="45">
        <v>-14900</v>
      </c>
      <c r="G68" s="19" t="str">
        <v>المقاولين</v>
      </c>
    </row>
    <row r="69" spans="5:7" x14ac:dyDescent="0.3">
      <c r="F69" s="52"/>
    </row>
    <row r="70" spans="5:7" x14ac:dyDescent="0.3">
      <c r="F70" s="52"/>
    </row>
  </sheetData>
  <mergeCells count="6">
    <mergeCell ref="E22:G22"/>
    <mergeCell ref="I11:J11"/>
    <mergeCell ref="E1:R1"/>
    <mergeCell ref="E2:R2"/>
    <mergeCell ref="E11:G11"/>
    <mergeCell ref="E20:R20"/>
  </mergeCells>
  <conditionalFormatting sqref="E1:X10 E11:K13 O11:X13 E14:X68 E69:F69 H69:X69 G70">
    <cfRule type="expression" dxfId="0" priority="1">
      <formula>AND(ISNUMBER(E1),E1&lt;0)</formula>
    </cfRule>
  </conditionalFormatting>
  <dataValidations xWindow="466" yWindow="355" count="1">
    <dataValidation type="list" allowBlank="1" showInputMessage="1" showErrorMessage="1" promptTitle="اختيار الفئة" prompt="اختر فئة لتصفية المؤشرات وأعلى البنود." sqref="F5" xr:uid="{6B39B65C-C821-4A04-84B3-5C5905909D94}">
      <formula1>$X$2:$X$6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wifi</dc:creator>
  <cp:lastModifiedBy>Mohamed Elsayed</cp:lastModifiedBy>
  <dcterms:created xsi:type="dcterms:W3CDTF">2025-07-21T09:59:32Z</dcterms:created>
  <dcterms:modified xsi:type="dcterms:W3CDTF">2026-10-03T19:19:20Z</dcterms:modified>
</cp:coreProperties>
</file>